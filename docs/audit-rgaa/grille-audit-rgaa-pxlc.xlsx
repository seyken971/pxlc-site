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Échantillon" sheetId="3" state="visible" r:id="rId3"/>
    <sheet xmlns:r="http://schemas.openxmlformats.org/officeDocument/2006/relationships" name="Grille" sheetId="4" state="visible" r:id="rId4"/>
    <sheet xmlns:r="http://schemas.openxmlformats.org/officeDocument/2006/relationships" name="Corrections" sheetId="5" state="visible" r:id="rId5"/>
    <sheet xmlns:r="http://schemas.openxmlformats.org/officeDocument/2006/relationships" name="Procédures" sheetId="6" state="visible" r:id="rId6"/>
  </sheets>
  <definedNames>
    <definedName name="_xlnm._FilterDatabase" localSheetId="3" hidden="1">'Grille'!$A$1:$N$107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4"/>
    </font>
    <font>
      <name val="Arial"/>
      <b val="1"/>
      <color rgb="00FFFFFF"/>
    </font>
    <font>
      <name val="Arial"/>
      <color rgb="00036E73"/>
      <u val="single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082B3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2BF"/>
      </left>
      <right style="thin">
        <color rgb="00D9D2BF"/>
      </right>
      <top style="thin">
        <color rgb="00D9D2BF"/>
      </top>
      <bottom style="thin">
        <color rgb="00D9D2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1" fillId="0" borderId="0" pivotButton="0" quotePrefix="0" xfId="0"/>
    <xf numFmtId="0" fontId="6" fillId="0" borderId="0" pivotButton="0" quotePrefix="0" xfId="0"/>
    <xf numFmtId="0" fontId="4" fillId="2" borderId="0" pivotButton="0" quotePrefix="0" xfId="0"/>
    <xf numFmtId="164" fontId="2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FEFEF"/>
        </patternFill>
      </fill>
    </dxf>
    <dxf>
      <fill>
        <patternFill patternType="solid">
          <fgColor rgb="00FFE5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accessibilite.numerique.gouv.fr/methode/criteres-et-tests/#1.1" TargetMode="External" Id="rId1"/><Relationship Type="http://schemas.openxmlformats.org/officeDocument/2006/relationships/hyperlink" Target="https://accessibilite.numerique.gouv.fr/methode/criteres-et-tests/#1.2" TargetMode="External" Id="rId2"/><Relationship Type="http://schemas.openxmlformats.org/officeDocument/2006/relationships/hyperlink" Target="https://accessibilite.numerique.gouv.fr/methode/criteres-et-tests/#1.3" TargetMode="External" Id="rId3"/><Relationship Type="http://schemas.openxmlformats.org/officeDocument/2006/relationships/hyperlink" Target="https://accessibilite.numerique.gouv.fr/methode/criteres-et-tests/#1.4" TargetMode="External" Id="rId4"/><Relationship Type="http://schemas.openxmlformats.org/officeDocument/2006/relationships/hyperlink" Target="https://accessibilite.numerique.gouv.fr/methode/criteres-et-tests/#1.5" TargetMode="External" Id="rId5"/><Relationship Type="http://schemas.openxmlformats.org/officeDocument/2006/relationships/hyperlink" Target="https://accessibilite.numerique.gouv.fr/methode/criteres-et-tests/#1.6" TargetMode="External" Id="rId6"/><Relationship Type="http://schemas.openxmlformats.org/officeDocument/2006/relationships/hyperlink" Target="https://accessibilite.numerique.gouv.fr/methode/criteres-et-tests/#1.7" TargetMode="External" Id="rId7"/><Relationship Type="http://schemas.openxmlformats.org/officeDocument/2006/relationships/hyperlink" Target="https://accessibilite.numerique.gouv.fr/methode/criteres-et-tests/#1.8" TargetMode="External" Id="rId8"/><Relationship Type="http://schemas.openxmlformats.org/officeDocument/2006/relationships/hyperlink" Target="https://accessibilite.numerique.gouv.fr/methode/criteres-et-tests/#1.9" TargetMode="External" Id="rId9"/><Relationship Type="http://schemas.openxmlformats.org/officeDocument/2006/relationships/hyperlink" Target="https://accessibilite.numerique.gouv.fr/methode/criteres-et-tests/#2.1" TargetMode="External" Id="rId10"/><Relationship Type="http://schemas.openxmlformats.org/officeDocument/2006/relationships/hyperlink" Target="https://accessibilite.numerique.gouv.fr/methode/criteres-et-tests/#2.2" TargetMode="External" Id="rId11"/><Relationship Type="http://schemas.openxmlformats.org/officeDocument/2006/relationships/hyperlink" Target="https://accessibilite.numerique.gouv.fr/methode/criteres-et-tests/#3.1" TargetMode="External" Id="rId12"/><Relationship Type="http://schemas.openxmlformats.org/officeDocument/2006/relationships/hyperlink" Target="https://accessibilite.numerique.gouv.fr/methode/criteres-et-tests/#3.2" TargetMode="External" Id="rId13"/><Relationship Type="http://schemas.openxmlformats.org/officeDocument/2006/relationships/hyperlink" Target="https://accessibilite.numerique.gouv.fr/methode/criteres-et-tests/#3.3" TargetMode="External" Id="rId14"/><Relationship Type="http://schemas.openxmlformats.org/officeDocument/2006/relationships/hyperlink" Target="https://accessibilite.numerique.gouv.fr/methode/criteres-et-tests/#4.1" TargetMode="External" Id="rId15"/><Relationship Type="http://schemas.openxmlformats.org/officeDocument/2006/relationships/hyperlink" Target="https://accessibilite.numerique.gouv.fr/methode/criteres-et-tests/#4.2" TargetMode="External" Id="rId16"/><Relationship Type="http://schemas.openxmlformats.org/officeDocument/2006/relationships/hyperlink" Target="https://accessibilite.numerique.gouv.fr/methode/criteres-et-tests/#4.3" TargetMode="External" Id="rId17"/><Relationship Type="http://schemas.openxmlformats.org/officeDocument/2006/relationships/hyperlink" Target="https://accessibilite.numerique.gouv.fr/methode/criteres-et-tests/#4.4" TargetMode="External" Id="rId18"/><Relationship Type="http://schemas.openxmlformats.org/officeDocument/2006/relationships/hyperlink" Target="https://accessibilite.numerique.gouv.fr/methode/criteres-et-tests/#4.5" TargetMode="External" Id="rId19"/><Relationship Type="http://schemas.openxmlformats.org/officeDocument/2006/relationships/hyperlink" Target="https://accessibilite.numerique.gouv.fr/methode/criteres-et-tests/#4.6" TargetMode="External" Id="rId20"/><Relationship Type="http://schemas.openxmlformats.org/officeDocument/2006/relationships/hyperlink" Target="https://accessibilite.numerique.gouv.fr/methode/criteres-et-tests/#4.7" TargetMode="External" Id="rId21"/><Relationship Type="http://schemas.openxmlformats.org/officeDocument/2006/relationships/hyperlink" Target="https://accessibilite.numerique.gouv.fr/methode/criteres-et-tests/#4.8" TargetMode="External" Id="rId22"/><Relationship Type="http://schemas.openxmlformats.org/officeDocument/2006/relationships/hyperlink" Target="https://accessibilite.numerique.gouv.fr/methode/criteres-et-tests/#4.9" TargetMode="External" Id="rId23"/><Relationship Type="http://schemas.openxmlformats.org/officeDocument/2006/relationships/hyperlink" Target="https://accessibilite.numerique.gouv.fr/methode/criteres-et-tests/#4.10" TargetMode="External" Id="rId24"/><Relationship Type="http://schemas.openxmlformats.org/officeDocument/2006/relationships/hyperlink" Target="https://accessibilite.numerique.gouv.fr/methode/criteres-et-tests/#4.11" TargetMode="External" Id="rId25"/><Relationship Type="http://schemas.openxmlformats.org/officeDocument/2006/relationships/hyperlink" Target="https://accessibilite.numerique.gouv.fr/methode/criteres-et-tests/#4.12" TargetMode="External" Id="rId26"/><Relationship Type="http://schemas.openxmlformats.org/officeDocument/2006/relationships/hyperlink" Target="https://accessibilite.numerique.gouv.fr/methode/criteres-et-tests/#4.13" TargetMode="External" Id="rId27"/><Relationship Type="http://schemas.openxmlformats.org/officeDocument/2006/relationships/hyperlink" Target="https://accessibilite.numerique.gouv.fr/methode/criteres-et-tests/#5.1" TargetMode="External" Id="rId28"/><Relationship Type="http://schemas.openxmlformats.org/officeDocument/2006/relationships/hyperlink" Target="https://accessibilite.numerique.gouv.fr/methode/criteres-et-tests/#5.2" TargetMode="External" Id="rId29"/><Relationship Type="http://schemas.openxmlformats.org/officeDocument/2006/relationships/hyperlink" Target="https://accessibilite.numerique.gouv.fr/methode/criteres-et-tests/#5.3" TargetMode="External" Id="rId30"/><Relationship Type="http://schemas.openxmlformats.org/officeDocument/2006/relationships/hyperlink" Target="https://accessibilite.numerique.gouv.fr/methode/criteres-et-tests/#5.4" TargetMode="External" Id="rId31"/><Relationship Type="http://schemas.openxmlformats.org/officeDocument/2006/relationships/hyperlink" Target="https://accessibilite.numerique.gouv.fr/methode/criteres-et-tests/#5.5" TargetMode="External" Id="rId32"/><Relationship Type="http://schemas.openxmlformats.org/officeDocument/2006/relationships/hyperlink" Target="https://accessibilite.numerique.gouv.fr/methode/criteres-et-tests/#5.6" TargetMode="External" Id="rId33"/><Relationship Type="http://schemas.openxmlformats.org/officeDocument/2006/relationships/hyperlink" Target="https://accessibilite.numerique.gouv.fr/methode/criteres-et-tests/#5.7" TargetMode="External" Id="rId34"/><Relationship Type="http://schemas.openxmlformats.org/officeDocument/2006/relationships/hyperlink" Target="https://accessibilite.numerique.gouv.fr/methode/criteres-et-tests/#5.8" TargetMode="External" Id="rId35"/><Relationship Type="http://schemas.openxmlformats.org/officeDocument/2006/relationships/hyperlink" Target="https://accessibilite.numerique.gouv.fr/methode/criteres-et-tests/#6.1" TargetMode="External" Id="rId36"/><Relationship Type="http://schemas.openxmlformats.org/officeDocument/2006/relationships/hyperlink" Target="https://accessibilite.numerique.gouv.fr/methode/criteres-et-tests/#6.2" TargetMode="External" Id="rId37"/><Relationship Type="http://schemas.openxmlformats.org/officeDocument/2006/relationships/hyperlink" Target="https://accessibilite.numerique.gouv.fr/methode/criteres-et-tests/#7.1" TargetMode="External" Id="rId38"/><Relationship Type="http://schemas.openxmlformats.org/officeDocument/2006/relationships/hyperlink" Target="https://accessibilite.numerique.gouv.fr/methode/criteres-et-tests/#7.2" TargetMode="External" Id="rId39"/><Relationship Type="http://schemas.openxmlformats.org/officeDocument/2006/relationships/hyperlink" Target="https://accessibilite.numerique.gouv.fr/methode/criteres-et-tests/#7.3" TargetMode="External" Id="rId40"/><Relationship Type="http://schemas.openxmlformats.org/officeDocument/2006/relationships/hyperlink" Target="https://accessibilite.numerique.gouv.fr/methode/criteres-et-tests/#7.4" TargetMode="External" Id="rId41"/><Relationship Type="http://schemas.openxmlformats.org/officeDocument/2006/relationships/hyperlink" Target="https://accessibilite.numerique.gouv.fr/methode/criteres-et-tests/#7.5" TargetMode="External" Id="rId42"/><Relationship Type="http://schemas.openxmlformats.org/officeDocument/2006/relationships/hyperlink" Target="https://accessibilite.numerique.gouv.fr/methode/criteres-et-tests/#8.1" TargetMode="External" Id="rId43"/><Relationship Type="http://schemas.openxmlformats.org/officeDocument/2006/relationships/hyperlink" Target="https://accessibilite.numerique.gouv.fr/methode/criteres-et-tests/#8.2" TargetMode="External" Id="rId44"/><Relationship Type="http://schemas.openxmlformats.org/officeDocument/2006/relationships/hyperlink" Target="https://accessibilite.numerique.gouv.fr/methode/criteres-et-tests/#8.3" TargetMode="External" Id="rId45"/><Relationship Type="http://schemas.openxmlformats.org/officeDocument/2006/relationships/hyperlink" Target="https://accessibilite.numerique.gouv.fr/methode/criteres-et-tests/#8.4" TargetMode="External" Id="rId46"/><Relationship Type="http://schemas.openxmlformats.org/officeDocument/2006/relationships/hyperlink" Target="https://accessibilite.numerique.gouv.fr/methode/criteres-et-tests/#8.5" TargetMode="External" Id="rId47"/><Relationship Type="http://schemas.openxmlformats.org/officeDocument/2006/relationships/hyperlink" Target="https://accessibilite.numerique.gouv.fr/methode/criteres-et-tests/#8.6" TargetMode="External" Id="rId48"/><Relationship Type="http://schemas.openxmlformats.org/officeDocument/2006/relationships/hyperlink" Target="https://accessibilite.numerique.gouv.fr/methode/criteres-et-tests/#8.7" TargetMode="External" Id="rId49"/><Relationship Type="http://schemas.openxmlformats.org/officeDocument/2006/relationships/hyperlink" Target="https://accessibilite.numerique.gouv.fr/methode/criteres-et-tests/#8.8" TargetMode="External" Id="rId50"/><Relationship Type="http://schemas.openxmlformats.org/officeDocument/2006/relationships/hyperlink" Target="https://accessibilite.numerique.gouv.fr/methode/criteres-et-tests/#8.9" TargetMode="External" Id="rId51"/><Relationship Type="http://schemas.openxmlformats.org/officeDocument/2006/relationships/hyperlink" Target="https://accessibilite.numerique.gouv.fr/methode/criteres-et-tests/#8.10" TargetMode="External" Id="rId52"/><Relationship Type="http://schemas.openxmlformats.org/officeDocument/2006/relationships/hyperlink" Target="https://accessibilite.numerique.gouv.fr/methode/criteres-et-tests/#9.1" TargetMode="External" Id="rId53"/><Relationship Type="http://schemas.openxmlformats.org/officeDocument/2006/relationships/hyperlink" Target="https://accessibilite.numerique.gouv.fr/methode/criteres-et-tests/#9.2" TargetMode="External" Id="rId54"/><Relationship Type="http://schemas.openxmlformats.org/officeDocument/2006/relationships/hyperlink" Target="https://accessibilite.numerique.gouv.fr/methode/criteres-et-tests/#9.3" TargetMode="External" Id="rId55"/><Relationship Type="http://schemas.openxmlformats.org/officeDocument/2006/relationships/hyperlink" Target="https://accessibilite.numerique.gouv.fr/methode/criteres-et-tests/#9.4" TargetMode="External" Id="rId56"/><Relationship Type="http://schemas.openxmlformats.org/officeDocument/2006/relationships/hyperlink" Target="https://accessibilite.numerique.gouv.fr/methode/criteres-et-tests/#10.1" TargetMode="External" Id="rId57"/><Relationship Type="http://schemas.openxmlformats.org/officeDocument/2006/relationships/hyperlink" Target="https://accessibilite.numerique.gouv.fr/methode/criteres-et-tests/#10.2" TargetMode="External" Id="rId58"/><Relationship Type="http://schemas.openxmlformats.org/officeDocument/2006/relationships/hyperlink" Target="https://accessibilite.numerique.gouv.fr/methode/criteres-et-tests/#10.3" TargetMode="External" Id="rId59"/><Relationship Type="http://schemas.openxmlformats.org/officeDocument/2006/relationships/hyperlink" Target="https://accessibilite.numerique.gouv.fr/methode/criteres-et-tests/#10.4" TargetMode="External" Id="rId60"/><Relationship Type="http://schemas.openxmlformats.org/officeDocument/2006/relationships/hyperlink" Target="https://accessibilite.numerique.gouv.fr/methode/criteres-et-tests/#10.5" TargetMode="External" Id="rId61"/><Relationship Type="http://schemas.openxmlformats.org/officeDocument/2006/relationships/hyperlink" Target="https://accessibilite.numerique.gouv.fr/methode/criteres-et-tests/#10.6" TargetMode="External" Id="rId62"/><Relationship Type="http://schemas.openxmlformats.org/officeDocument/2006/relationships/hyperlink" Target="https://accessibilite.numerique.gouv.fr/methode/criteres-et-tests/#10.7" TargetMode="External" Id="rId63"/><Relationship Type="http://schemas.openxmlformats.org/officeDocument/2006/relationships/hyperlink" Target="https://accessibilite.numerique.gouv.fr/methode/criteres-et-tests/#10.8" TargetMode="External" Id="rId64"/><Relationship Type="http://schemas.openxmlformats.org/officeDocument/2006/relationships/hyperlink" Target="https://accessibilite.numerique.gouv.fr/methode/criteres-et-tests/#10.9" TargetMode="External" Id="rId65"/><Relationship Type="http://schemas.openxmlformats.org/officeDocument/2006/relationships/hyperlink" Target="https://accessibilite.numerique.gouv.fr/methode/criteres-et-tests/#10.10" TargetMode="External" Id="rId66"/><Relationship Type="http://schemas.openxmlformats.org/officeDocument/2006/relationships/hyperlink" Target="https://accessibilite.numerique.gouv.fr/methode/criteres-et-tests/#10.11" TargetMode="External" Id="rId67"/><Relationship Type="http://schemas.openxmlformats.org/officeDocument/2006/relationships/hyperlink" Target="https://accessibilite.numerique.gouv.fr/methode/criteres-et-tests/#10.12" TargetMode="External" Id="rId68"/><Relationship Type="http://schemas.openxmlformats.org/officeDocument/2006/relationships/hyperlink" Target="https://accessibilite.numerique.gouv.fr/methode/criteres-et-tests/#10.13" TargetMode="External" Id="rId69"/><Relationship Type="http://schemas.openxmlformats.org/officeDocument/2006/relationships/hyperlink" Target="https://accessibilite.numerique.gouv.fr/methode/criteres-et-tests/#10.14" TargetMode="External" Id="rId70"/><Relationship Type="http://schemas.openxmlformats.org/officeDocument/2006/relationships/hyperlink" Target="https://accessibilite.numerique.gouv.fr/methode/criteres-et-tests/#11.1" TargetMode="External" Id="rId71"/><Relationship Type="http://schemas.openxmlformats.org/officeDocument/2006/relationships/hyperlink" Target="https://accessibilite.numerique.gouv.fr/methode/criteres-et-tests/#11.2" TargetMode="External" Id="rId72"/><Relationship Type="http://schemas.openxmlformats.org/officeDocument/2006/relationships/hyperlink" Target="https://accessibilite.numerique.gouv.fr/methode/criteres-et-tests/#11.3" TargetMode="External" Id="rId73"/><Relationship Type="http://schemas.openxmlformats.org/officeDocument/2006/relationships/hyperlink" Target="https://accessibilite.numerique.gouv.fr/methode/criteres-et-tests/#11.4" TargetMode="External" Id="rId74"/><Relationship Type="http://schemas.openxmlformats.org/officeDocument/2006/relationships/hyperlink" Target="https://accessibilite.numerique.gouv.fr/methode/criteres-et-tests/#11.5" TargetMode="External" Id="rId75"/><Relationship Type="http://schemas.openxmlformats.org/officeDocument/2006/relationships/hyperlink" Target="https://accessibilite.numerique.gouv.fr/methode/criteres-et-tests/#11.6" TargetMode="External" Id="rId76"/><Relationship Type="http://schemas.openxmlformats.org/officeDocument/2006/relationships/hyperlink" Target="https://accessibilite.numerique.gouv.fr/methode/criteres-et-tests/#11.7" TargetMode="External" Id="rId77"/><Relationship Type="http://schemas.openxmlformats.org/officeDocument/2006/relationships/hyperlink" Target="https://accessibilite.numerique.gouv.fr/methode/criteres-et-tests/#11.8" TargetMode="External" Id="rId78"/><Relationship Type="http://schemas.openxmlformats.org/officeDocument/2006/relationships/hyperlink" Target="https://accessibilite.numerique.gouv.fr/methode/criteres-et-tests/#11.9" TargetMode="External" Id="rId79"/><Relationship Type="http://schemas.openxmlformats.org/officeDocument/2006/relationships/hyperlink" Target="https://accessibilite.numerique.gouv.fr/methode/criteres-et-tests/#11.10" TargetMode="External" Id="rId80"/><Relationship Type="http://schemas.openxmlformats.org/officeDocument/2006/relationships/hyperlink" Target="https://accessibilite.numerique.gouv.fr/methode/criteres-et-tests/#11.11" TargetMode="External" Id="rId81"/><Relationship Type="http://schemas.openxmlformats.org/officeDocument/2006/relationships/hyperlink" Target="https://accessibilite.numerique.gouv.fr/methode/criteres-et-tests/#11.12" TargetMode="External" Id="rId82"/><Relationship Type="http://schemas.openxmlformats.org/officeDocument/2006/relationships/hyperlink" Target="https://accessibilite.numerique.gouv.fr/methode/criteres-et-tests/#11.13" TargetMode="External" Id="rId83"/><Relationship Type="http://schemas.openxmlformats.org/officeDocument/2006/relationships/hyperlink" Target="https://accessibilite.numerique.gouv.fr/methode/criteres-et-tests/#12.1" TargetMode="External" Id="rId84"/><Relationship Type="http://schemas.openxmlformats.org/officeDocument/2006/relationships/hyperlink" Target="https://accessibilite.numerique.gouv.fr/methode/criteres-et-tests/#12.2" TargetMode="External" Id="rId85"/><Relationship Type="http://schemas.openxmlformats.org/officeDocument/2006/relationships/hyperlink" Target="https://accessibilite.numerique.gouv.fr/methode/criteres-et-tests/#12.3" TargetMode="External" Id="rId86"/><Relationship Type="http://schemas.openxmlformats.org/officeDocument/2006/relationships/hyperlink" Target="https://accessibilite.numerique.gouv.fr/methode/criteres-et-tests/#12.4" TargetMode="External" Id="rId87"/><Relationship Type="http://schemas.openxmlformats.org/officeDocument/2006/relationships/hyperlink" Target="https://accessibilite.numerique.gouv.fr/methode/criteres-et-tests/#12.5" TargetMode="External" Id="rId88"/><Relationship Type="http://schemas.openxmlformats.org/officeDocument/2006/relationships/hyperlink" Target="https://accessibilite.numerique.gouv.fr/methode/criteres-et-tests/#12.6" TargetMode="External" Id="rId89"/><Relationship Type="http://schemas.openxmlformats.org/officeDocument/2006/relationships/hyperlink" Target="https://accessibilite.numerique.gouv.fr/methode/criteres-et-tests/#12.7" TargetMode="External" Id="rId90"/><Relationship Type="http://schemas.openxmlformats.org/officeDocument/2006/relationships/hyperlink" Target="https://accessibilite.numerique.gouv.fr/methode/criteres-et-tests/#12.8" TargetMode="External" Id="rId91"/><Relationship Type="http://schemas.openxmlformats.org/officeDocument/2006/relationships/hyperlink" Target="https://accessibilite.numerique.gouv.fr/methode/criteres-et-tests/#12.9" TargetMode="External" Id="rId92"/><Relationship Type="http://schemas.openxmlformats.org/officeDocument/2006/relationships/hyperlink" Target="https://accessibilite.numerique.gouv.fr/methode/criteres-et-tests/#12.10" TargetMode="External" Id="rId93"/><Relationship Type="http://schemas.openxmlformats.org/officeDocument/2006/relationships/hyperlink" Target="https://accessibilite.numerique.gouv.fr/methode/criteres-et-tests/#12.11" TargetMode="External" Id="rId94"/><Relationship Type="http://schemas.openxmlformats.org/officeDocument/2006/relationships/hyperlink" Target="https://accessibilite.numerique.gouv.fr/methode/criteres-et-tests/#13.1" TargetMode="External" Id="rId95"/><Relationship Type="http://schemas.openxmlformats.org/officeDocument/2006/relationships/hyperlink" Target="https://accessibilite.numerique.gouv.fr/methode/criteres-et-tests/#13.2" TargetMode="External" Id="rId96"/><Relationship Type="http://schemas.openxmlformats.org/officeDocument/2006/relationships/hyperlink" Target="https://accessibilite.numerique.gouv.fr/methode/criteres-et-tests/#13.3" TargetMode="External" Id="rId97"/><Relationship Type="http://schemas.openxmlformats.org/officeDocument/2006/relationships/hyperlink" Target="https://accessibilite.numerique.gouv.fr/methode/criteres-et-tests/#13.4" TargetMode="External" Id="rId98"/><Relationship Type="http://schemas.openxmlformats.org/officeDocument/2006/relationships/hyperlink" Target="https://accessibilite.numerique.gouv.fr/methode/criteres-et-tests/#13.5" TargetMode="External" Id="rId99"/><Relationship Type="http://schemas.openxmlformats.org/officeDocument/2006/relationships/hyperlink" Target="https://accessibilite.numerique.gouv.fr/methode/criteres-et-tests/#13.6" TargetMode="External" Id="rId100"/><Relationship Type="http://schemas.openxmlformats.org/officeDocument/2006/relationships/hyperlink" Target="https://accessibilite.numerique.gouv.fr/methode/criteres-et-tests/#13.7" TargetMode="External" Id="rId101"/><Relationship Type="http://schemas.openxmlformats.org/officeDocument/2006/relationships/hyperlink" Target="https://accessibilite.numerique.gouv.fr/methode/criteres-et-tests/#13.8" TargetMode="External" Id="rId102"/><Relationship Type="http://schemas.openxmlformats.org/officeDocument/2006/relationships/hyperlink" Target="https://accessibilite.numerique.gouv.fr/methode/criteres-et-tests/#13.9" TargetMode="External" Id="rId103"/><Relationship Type="http://schemas.openxmlformats.org/officeDocument/2006/relationships/hyperlink" Target="https://accessibilite.numerique.gouv.fr/methode/criteres-et-tests/#13.10" TargetMode="External" Id="rId104"/><Relationship Type="http://schemas.openxmlformats.org/officeDocument/2006/relationships/hyperlink" Target="https://accessibilite.numerique.gouv.fr/methode/criteres-et-tests/#13.11" TargetMode="External" Id="rId105"/><Relationship Type="http://schemas.openxmlformats.org/officeDocument/2006/relationships/hyperlink" Target="https://accessibilite.numerique.gouv.fr/methode/criteres-et-tests/#13.12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Grille d'audit RGAA 4.1 — pxlc.fr</t>
        </is>
      </c>
    </row>
    <row r="2">
      <c r="A2" s="2" t="inlineStr">
        <is>
          <t>Pré-remplie le 21/09/2026 à partir du build du site (tests automatisés jsdom, axe-core, Playwright, calculs de contraste) et de la lecture du code. Les 7 non-conformités relevées ont été corrigées le même jour (onglet « Corrections »).</t>
        </is>
      </c>
    </row>
    <row r="3">
      <c r="A3" s="2" t="inlineStr"/>
    </row>
    <row r="4">
      <c r="A4" s="3" t="inlineStr">
        <is>
          <t>Codes de statut</t>
        </is>
      </c>
    </row>
    <row r="5">
      <c r="A5" s="2" t="inlineStr">
        <is>
          <t>C = conforme · NC = non conforme · NA = non applicable · AT = à tester à la main (procédure dans l'onglet « Procédures »).</t>
        </is>
      </c>
    </row>
    <row r="6">
      <c r="A6" s="2" t="inlineStr"/>
    </row>
    <row r="7">
      <c r="A7" s="3" t="inlineStr">
        <is>
          <t>Ce que tu remplis</t>
        </is>
      </c>
    </row>
    <row r="8">
      <c r="A8" s="2" t="inlineStr">
        <is>
          <t>Uniquement les cellules jaunes de l'onglet « Grille » : remplace chaque AT par C, NC ou NA après le test, et complète la colonne « Notes de l'auditeur ».</t>
        </is>
      </c>
    </row>
    <row r="9">
      <c r="A9" s="2" t="inlineStr">
        <is>
          <t>Exemple : 8.2 / Accueil — passer la page au validateur W3C ; 0 erreur → écrire C ; erreurs → NC et noter lesquelles.</t>
        </is>
      </c>
    </row>
    <row r="10">
      <c r="A10" s="2" t="inlineStr"/>
    </row>
    <row r="11">
      <c r="A11" s="3" t="inlineStr">
        <is>
          <t>Calcul du taux (méthode officielle)</t>
        </is>
      </c>
    </row>
    <row r="12">
      <c r="A12" s="2" t="inlineStr">
        <is>
          <t>Un critère est NC s'il est NC sur au moins une page, NA s'il est NA partout, C sinon. Taux = critères C ÷ (critères C + critères NC). Tant qu'il reste des AT, le taux de l'onglet « Synthèse » est provisoire.</t>
        </is>
      </c>
    </row>
    <row r="13">
      <c r="A13" s="2" t="inlineStr"/>
    </row>
    <row r="14">
      <c r="A14" s="3" t="inlineStr">
        <is>
          <t>Sources</t>
        </is>
      </c>
    </row>
    <row r="15">
      <c r="A15" s="2" t="inlineStr">
        <is>
          <t>Critères : référentiel officiel RGAA 4.1, dépôt DISIC/RGAA (v4.1/JSON/criteres.json). Méthode et tests détaillés : accessibilite.numerique.gouv.fr/methode/criteres-et-tests/</t>
        </is>
      </c>
    </row>
    <row r="16">
      <c r="A16" s="2" t="inlineStr">
        <is>
          <t>Seuils : texte 4,5:1 (3:1 au-delà de 24 px ou 18,5 px gras) ; composants d'interface et graphiques porteurs d'information 3:1.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Synthèse de l'audit</t>
        </is>
      </c>
    </row>
    <row r="3">
      <c r="A3" s="5" t="inlineStr">
        <is>
          <t>Résultat global (106 critères)</t>
        </is>
      </c>
    </row>
    <row r="4">
      <c r="A4" s="6" t="inlineStr">
        <is>
          <t>Critères conformes (C)</t>
        </is>
      </c>
      <c r="B4" s="6">
        <f>COUNTIF(Grille!$K$2:$K$107,"C")</f>
        <v/>
      </c>
    </row>
    <row r="5">
      <c r="A5" s="6" t="inlineStr">
        <is>
          <t>Critères non conformes (NC)</t>
        </is>
      </c>
      <c r="B5" s="6">
        <f>COUNTIF(Grille!$K$2:$K$107,"NC")</f>
        <v/>
      </c>
    </row>
    <row r="6">
      <c r="A6" s="6" t="inlineStr">
        <is>
          <t>Critères non applicables (NA)</t>
        </is>
      </c>
      <c r="B6" s="6">
        <f>COUNTIF(Grille!$K$2:$K$107,"NA")</f>
        <v/>
      </c>
    </row>
    <row r="7">
      <c r="A7" s="6" t="inlineStr">
        <is>
          <t>Critères restant à tester (AT)</t>
        </is>
      </c>
      <c r="B7" s="6">
        <f>COUNTIF(Grille!$K$2:$K$107,"AT")</f>
        <v/>
      </c>
    </row>
    <row r="8">
      <c r="A8" s="6" t="inlineStr">
        <is>
          <t>Total</t>
        </is>
      </c>
      <c r="B8" s="6">
        <f>SUM(B4:B7)</f>
        <v/>
      </c>
    </row>
    <row r="10">
      <c r="A10" s="5" t="inlineStr">
        <is>
          <t>Taux de conformité provisoire (AT exclus)</t>
        </is>
      </c>
      <c r="B10" s="7">
        <f>IF(B4+B5=0,0,B4/(B4+B5))</f>
        <v/>
      </c>
    </row>
    <row r="11">
      <c r="A11" s="5" t="inlineStr">
        <is>
          <t>État à déclarer</t>
        </is>
      </c>
      <c r="B11" s="5">
        <f>IF(B7&gt;0,"Audit incomplet — terminer les AT",IF(B10=1,"Totalement conforme",IF(B10&gt;=0.5,"Partiellement conforme","Non conforme")))</f>
        <v/>
      </c>
    </row>
    <row r="12">
      <c r="A12" s="8" t="inlineStr">
        <is>
          <t>Rappel : totalement conforme = 100 % ; partiellement conforme ≥ 50 % ; non conforme &lt; 50 %.</t>
        </is>
      </c>
    </row>
    <row r="14">
      <c r="A14" s="5" t="inlineStr">
        <is>
          <t>Taux par page (critères C ÷ (C + NC) sur la page)</t>
        </is>
      </c>
    </row>
    <row r="15">
      <c r="A15" s="9" t="inlineStr">
        <is>
          <t>Page</t>
        </is>
      </c>
      <c r="B15" s="9" t="inlineStr">
        <is>
          <t>C</t>
        </is>
      </c>
      <c r="C15" s="9" t="inlineStr">
        <is>
          <t>NC</t>
        </is>
      </c>
      <c r="D15" s="9" t="inlineStr">
        <is>
          <t>AT</t>
        </is>
      </c>
      <c r="E15" s="9" t="inlineStr">
        <is>
          <t>Taux</t>
        </is>
      </c>
    </row>
    <row r="16">
      <c r="A16" s="6" t="inlineStr">
        <is>
          <t>Accueil</t>
        </is>
      </c>
      <c r="B16" s="6">
        <f>COUNTIF(Grille!$D$2:$D$107,"C")</f>
        <v/>
      </c>
      <c r="C16" s="6">
        <f>COUNTIF(Grille!$D$2:$D$107,"NC")</f>
        <v/>
      </c>
      <c r="D16" s="6">
        <f>COUNTIF(Grille!$D$2:$D$107,"AT")</f>
        <v/>
      </c>
      <c r="E16" s="10">
        <f>IF(B16+C16=0,0,B16/(B16+C16))</f>
        <v/>
      </c>
    </row>
    <row r="17">
      <c r="A17" s="6" t="inlineStr">
        <is>
          <t>À propos</t>
        </is>
      </c>
      <c r="B17" s="6">
        <f>COUNTIF(Grille!$E$2:$E$107,"C")</f>
        <v/>
      </c>
      <c r="C17" s="6">
        <f>COUNTIF(Grille!$E$2:$E$107,"NC")</f>
        <v/>
      </c>
      <c r="D17" s="6">
        <f>COUNTIF(Grille!$E$2:$E$107,"AT")</f>
        <v/>
      </c>
      <c r="E17" s="10">
        <f>IF(B17+C17=0,0,B17/(B17+C17))</f>
        <v/>
      </c>
    </row>
    <row r="18">
      <c r="A18" s="6" t="inlineStr">
        <is>
          <t>Projets</t>
        </is>
      </c>
      <c r="B18" s="6">
        <f>COUNTIF(Grille!$F$2:$F$107,"C")</f>
        <v/>
      </c>
      <c r="C18" s="6">
        <f>COUNTIF(Grille!$F$2:$F$107,"NC")</f>
        <v/>
      </c>
      <c r="D18" s="6">
        <f>COUNTIF(Grille!$F$2:$F$107,"AT")</f>
        <v/>
      </c>
      <c r="E18" s="10">
        <f>IF(B18+C18=0,0,B18/(B18+C18))</f>
        <v/>
      </c>
    </row>
    <row r="19">
      <c r="A19" s="6" t="inlineStr">
        <is>
          <t>Contact</t>
        </is>
      </c>
      <c r="B19" s="6">
        <f>COUNTIF(Grille!$G$2:$G$107,"C")</f>
        <v/>
      </c>
      <c r="C19" s="6">
        <f>COUNTIF(Grille!$G$2:$G$107,"NC")</f>
        <v/>
      </c>
      <c r="D19" s="6">
        <f>COUNTIF(Grille!$G$2:$G$107,"AT")</f>
        <v/>
      </c>
      <c r="E19" s="10">
        <f>IF(B19+C19=0,0,B19/(B19+C19))</f>
        <v/>
      </c>
    </row>
    <row r="20">
      <c r="A20" s="6" t="inlineStr">
        <is>
          <t>Mentions légales</t>
        </is>
      </c>
      <c r="B20" s="6">
        <f>COUNTIF(Grille!$H$2:$H$107,"C")</f>
        <v/>
      </c>
      <c r="C20" s="6">
        <f>COUNTIF(Grille!$H$2:$H$107,"NC")</f>
        <v/>
      </c>
      <c r="D20" s="6">
        <f>COUNTIF(Grille!$H$2:$H$107,"AT")</f>
        <v/>
      </c>
      <c r="E20" s="10">
        <f>IF(B20+C20=0,0,B20/(B20+C20))</f>
        <v/>
      </c>
    </row>
    <row r="21">
      <c r="A21" s="6" t="inlineStr">
        <is>
          <t>Accessibilité</t>
        </is>
      </c>
      <c r="B21" s="6">
        <f>COUNTIF(Grille!$I$2:$I$107,"C")</f>
        <v/>
      </c>
      <c r="C21" s="6">
        <f>COUNTIF(Grille!$I$2:$I$107,"NC")</f>
        <v/>
      </c>
      <c r="D21" s="6">
        <f>COUNTIF(Grille!$I$2:$I$107,"AT")</f>
        <v/>
      </c>
      <c r="E21" s="10">
        <f>IF(B21+C21=0,0,B21/(B21+C21))</f>
        <v/>
      </c>
    </row>
    <row r="22">
      <c r="A22" s="6" t="inlineStr">
        <is>
          <t>Plaquette (HTML)</t>
        </is>
      </c>
      <c r="B22" s="6">
        <f>COUNTIF(Grille!$J$2:$J$107,"C")</f>
        <v/>
      </c>
      <c r="C22" s="6">
        <f>COUNTIF(Grille!$J$2:$J$107,"NC")</f>
        <v/>
      </c>
      <c r="D22" s="6">
        <f>COUNTIF(Grille!$J$2:$J$107,"AT")</f>
        <v/>
      </c>
      <c r="E22" s="10">
        <f>IF(B22+C22=0,0,B22/(B22+C22))</f>
        <v/>
      </c>
    </row>
    <row r="23">
      <c r="A23" s="5" t="inlineStr">
        <is>
          <t>Taux moyen des pages</t>
        </is>
      </c>
      <c r="E23" s="7">
        <f>AVERAGE(E16:E22)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4" customWidth="1" min="3" max="3"/>
    <col width="70" customWidth="1" min="4" max="4"/>
  </cols>
  <sheetData>
    <row r="1">
      <c r="A1" s="9" t="inlineStr">
        <is>
          <t>Code</t>
        </is>
      </c>
      <c r="B1" s="9" t="inlineStr">
        <is>
          <t>Page</t>
        </is>
      </c>
      <c r="C1" s="9" t="inlineStr">
        <is>
          <t>URL</t>
        </is>
      </c>
      <c r="D1" s="9" t="inlineStr">
        <is>
          <t>Pourquoi dans l'échantillon</t>
        </is>
      </c>
    </row>
    <row r="2">
      <c r="A2" s="2" t="inlineStr">
        <is>
          <t>A</t>
        </is>
      </c>
      <c r="B2" s="2" t="inlineStr">
        <is>
          <t>Accueil</t>
        </is>
      </c>
      <c r="C2" s="2" t="inlineStr">
        <is>
          <t>https://pxlc.fr/</t>
        </is>
      </c>
      <c r="D2" s="2" t="inlineStr">
        <is>
          <t>Page d'accueil (obligatoire).</t>
        </is>
      </c>
    </row>
    <row r="3">
      <c r="A3" s="2" t="inlineStr">
        <is>
          <t>P</t>
        </is>
      </c>
      <c r="B3" s="2" t="inlineStr">
        <is>
          <t>À propos</t>
        </is>
      </c>
      <c r="C3" s="2" t="inlineStr">
        <is>
          <t>https://pxlc.fr/a-propos/</t>
        </is>
      </c>
      <c r="D3" s="2" t="inlineStr">
        <is>
          <t>Page représentative : portrait, frise, citation.</t>
        </is>
      </c>
    </row>
    <row r="4">
      <c r="A4" s="2" t="inlineStr">
        <is>
          <t>R</t>
        </is>
      </c>
      <c r="B4" s="2" t="inlineStr">
        <is>
          <t>Projets</t>
        </is>
      </c>
      <c r="C4" s="2" t="inlineStr">
        <is>
          <t>https://pxlc.fr/projets/</t>
        </is>
      </c>
      <c r="D4" s="2" t="inlineStr">
        <is>
          <t>Page la plus riche : FAQ interactive, cartes, liens externes.</t>
        </is>
      </c>
    </row>
    <row r="5">
      <c r="A5" s="2" t="inlineStr">
        <is>
          <t>C</t>
        </is>
      </c>
      <c r="B5" s="2" t="inlineStr">
        <is>
          <t>Contact</t>
        </is>
      </c>
      <c r="C5" s="2" t="inlineStr">
        <is>
          <t>https://pxlc.fr/contact/</t>
        </is>
      </c>
      <c r="D5" s="2" t="inlineStr">
        <is>
          <t>Page de contact et seul formulaire (obligatoire).</t>
        </is>
      </c>
    </row>
    <row r="6">
      <c r="A6" s="2" t="inlineStr">
        <is>
          <t>M</t>
        </is>
      </c>
      <c r="B6" s="2" t="inlineStr">
        <is>
          <t>Mentions légales</t>
        </is>
      </c>
      <c r="C6" s="2" t="inlineStr">
        <is>
          <t>https://pxlc.fr/mentions-legales/</t>
        </is>
      </c>
      <c r="D6" s="2" t="inlineStr">
        <is>
          <t>Mentions légales (obligatoire).</t>
        </is>
      </c>
    </row>
    <row r="7">
      <c r="A7" s="2" t="inlineStr">
        <is>
          <t>X</t>
        </is>
      </c>
      <c r="B7" s="2" t="inlineStr">
        <is>
          <t>Accessibilité</t>
        </is>
      </c>
      <c r="C7" s="2" t="inlineStr">
        <is>
          <t>https://pxlc.fr/accessibilite/</t>
        </is>
      </c>
      <c r="D7" s="2" t="inlineStr">
        <is>
          <t>Déclaration d'accessibilité (obligatoire).</t>
        </is>
      </c>
    </row>
    <row r="8">
      <c r="A8" s="2" t="inlineStr">
        <is>
          <t>Q</t>
        </is>
      </c>
      <c r="B8" s="2" t="inlineStr">
        <is>
          <t>Plaquette (HTML)</t>
        </is>
      </c>
      <c r="C8" s="2" t="inlineStr">
        <is>
          <t>https://pxlc.fr/plaquette/</t>
        </is>
      </c>
      <c r="D8" s="2" t="inlineStr">
        <is>
          <t>Version HTML de la plaquette PDF (document téléchargeable, critère 13.3).</t>
        </is>
      </c>
    </row>
    <row r="9">
      <c r="A9" s="2" t="inlineStr">
        <is>
          <t>—</t>
        </is>
      </c>
      <c r="B9" s="2" t="inlineStr">
        <is>
          <t>Plaquette PDF</t>
        </is>
      </c>
      <c r="C9" s="2" t="inlineStr">
        <is>
          <t>https://pxlc.fr/files/plaquette-pxlc.pdf</t>
        </is>
      </c>
      <c r="D9" s="2" t="inlineStr">
        <is>
          <t>Évaluée via les critères 13.3 et 13.4 (document bureautique).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6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70" customWidth="1" min="12" max="12"/>
    <col width="40" customWidth="1" min="13" max="13"/>
    <col width="14" customWidth="1" min="14" max="14"/>
  </cols>
  <sheetData>
    <row r="1">
      <c r="A1" s="11" t="inlineStr">
        <is>
          <t>Thématique</t>
        </is>
      </c>
      <c r="B1" s="11" t="inlineStr">
        <is>
          <t>Critère</t>
        </is>
      </c>
      <c r="C1" s="11" t="inlineStr">
        <is>
          <t>Intitulé officiel</t>
        </is>
      </c>
      <c r="D1" s="11" t="inlineStr">
        <is>
          <t>Accueil</t>
        </is>
      </c>
      <c r="E1" s="11" t="inlineStr">
        <is>
          <t>À propos</t>
        </is>
      </c>
      <c r="F1" s="11" t="inlineStr">
        <is>
          <t>Projets</t>
        </is>
      </c>
      <c r="G1" s="11" t="inlineStr">
        <is>
          <t>Contact</t>
        </is>
      </c>
      <c r="H1" s="11" t="inlineStr">
        <is>
          <t>Mentions légales</t>
        </is>
      </c>
      <c r="I1" s="11" t="inlineStr">
        <is>
          <t>Accessibilité</t>
        </is>
      </c>
      <c r="J1" s="11" t="inlineStr">
        <is>
          <t>Plaquette (HTML)</t>
        </is>
      </c>
      <c r="K1" s="11" t="inlineStr">
        <is>
          <t>Résultat</t>
        </is>
      </c>
      <c r="L1" s="11" t="inlineStr">
        <is>
          <t>Constat / justification (pré-remplissage)</t>
        </is>
      </c>
      <c r="M1" s="11" t="inlineStr">
        <is>
          <t>Notes de l'auditeur</t>
        </is>
      </c>
      <c r="N1" s="11" t="inlineStr">
        <is>
          <t>Méthode officielle</t>
        </is>
      </c>
    </row>
    <row r="2">
      <c r="A2" s="12" t="inlineStr">
        <is>
          <t>Images</t>
        </is>
      </c>
      <c r="B2" s="13" t="inlineStr">
        <is>
          <t>1.1</t>
        </is>
      </c>
      <c r="C2" s="12" t="inlineStr">
        <is>
          <t>Chaque image porteuse d'information a-t-elle une alternative textuelle ?</t>
        </is>
      </c>
      <c r="D2" s="14" t="inlineStr">
        <is>
          <t>C</t>
        </is>
      </c>
      <c r="E2" s="14" t="inlineStr">
        <is>
          <t>C</t>
        </is>
      </c>
      <c r="F2" s="14" t="inlineStr">
        <is>
          <t>NA</t>
        </is>
      </c>
      <c r="G2" s="14" t="inlineStr">
        <is>
          <t>C</t>
        </is>
      </c>
      <c r="H2" s="14" t="inlineStr">
        <is>
          <t>NA</t>
        </is>
      </c>
      <c r="I2" s="14" t="inlineStr">
        <is>
          <t>NA</t>
        </is>
      </c>
      <c r="J2" s="14" t="inlineStr">
        <is>
          <t>C</t>
        </is>
      </c>
      <c r="K2" s="15">
        <f>IF(COUNTIF(D2:J2,"NC")&gt;0,"NC",IF(COUNTIF(D2:J2,"AT")&gt;0,"AT",IF(COUNTIF(D2:J2,"C")&gt;0,"C","NA")))</f>
        <v/>
      </c>
      <c r="L2" s="12" t="inlineStr">
        <is>
          <t>Les photos ont un alt ; la carte des communes (contact) est un svg role=img avec aria-label. Projets, mentions et accessibilité n'ont que des images décoratives.</t>
        </is>
      </c>
      <c r="M2" s="16" t="n"/>
      <c r="N2" s="17" t="inlineStr">
        <is>
          <t>Critère 1.1</t>
        </is>
      </c>
    </row>
    <row r="3">
      <c r="A3" s="12" t="inlineStr">
        <is>
          <t>Images</t>
        </is>
      </c>
      <c r="B3" s="13" t="inlineStr">
        <is>
          <t>1.2</t>
        </is>
      </c>
      <c r="C3" s="12" t="inlineStr">
        <is>
          <t>Chaque image de décoration est-elle correctement ignorée par les technologies d'assistance ?</t>
        </is>
      </c>
      <c r="D3" s="14" t="inlineStr">
        <is>
          <t>C</t>
        </is>
      </c>
      <c r="E3" s="14" t="inlineStr">
        <is>
          <t>C</t>
        </is>
      </c>
      <c r="F3" s="14" t="inlineStr">
        <is>
          <t>C</t>
        </is>
      </c>
      <c r="G3" s="14" t="inlineStr">
        <is>
          <t>C</t>
        </is>
      </c>
      <c r="H3" s="14" t="inlineStr">
        <is>
          <t>C</t>
        </is>
      </c>
      <c r="I3" s="14" t="inlineStr">
        <is>
          <t>C</t>
        </is>
      </c>
      <c r="J3" s="14" t="inlineStr">
        <is>
          <t>C</t>
        </is>
      </c>
      <c r="K3" s="15">
        <f>IF(COUNTIF(D3:J3,"NC")&gt;0,"NC",IF(COUNTIF(D3:J3,"AT")&gt;0,"AT",IF(COUNTIF(D3:J3,"C")&gt;0,"C","NA")))</f>
        <v/>
      </c>
      <c r="L3" s="12" t="inlineStr">
        <is>
          <t>Tous les svg décoratifs (marque, motif Duo, icônes) portent aria-hidden="true" ; icônes des liens du pied de page masquées, le lien porte l'aria-label.</t>
        </is>
      </c>
      <c r="M3" s="16" t="n"/>
      <c r="N3" s="17" t="inlineStr">
        <is>
          <t>Critère 1.2</t>
        </is>
      </c>
    </row>
    <row r="4">
      <c r="A4" s="12" t="inlineStr">
        <is>
          <t>Images</t>
        </is>
      </c>
      <c r="B4" s="13" t="inlineStr">
        <is>
          <t>1.3</t>
        </is>
      </c>
      <c r="C4" s="12" t="inlineStr">
        <is>
          <t>Pour chaque image porteuse d'information ayant une alternative textuelle, cette alternative est-elle pertinente (hors cas particuliers) ?</t>
        </is>
      </c>
      <c r="D4" s="14" t="inlineStr">
        <is>
          <t>C</t>
        </is>
      </c>
      <c r="E4" s="14" t="inlineStr">
        <is>
          <t>C</t>
        </is>
      </c>
      <c r="F4" s="14" t="inlineStr">
        <is>
          <t>NA</t>
        </is>
      </c>
      <c r="G4" s="14" t="inlineStr">
        <is>
          <t>C</t>
        </is>
      </c>
      <c r="H4" s="14" t="inlineStr">
        <is>
          <t>NA</t>
        </is>
      </c>
      <c r="I4" s="14" t="inlineStr">
        <is>
          <t>NA</t>
        </is>
      </c>
      <c r="J4" s="14" t="inlineStr">
        <is>
          <t>C</t>
        </is>
      </c>
      <c r="K4" s="15">
        <f>IF(COUNTIF(D4:J4,"NC")&gt;0,"NC",IF(COUNTIF(D4:J4,"AT")&gt;0,"AT",IF(COUNTIF(D4:J4,"C")&gt;0,"C","NA")))</f>
        <v/>
      </c>
      <c r="L4" s="12" t="inlineStr">
        <is>
          <t>Alternatives relevées : « Andy Zébus en animation lors d'un événement gaming en Guadeloupe », « Duo gaming, vue de dos — atelier parent-enfant », « Portrait d'Andy Zébus… », carte « Communes de Guadeloupe — zone d'intervention PXLC ». Pertinence à confirmer par Andy.</t>
        </is>
      </c>
      <c r="M4" s="16" t="n"/>
      <c r="N4" s="17" t="inlineStr">
        <is>
          <t>Critère 1.3</t>
        </is>
      </c>
    </row>
    <row r="5">
      <c r="A5" s="12" t="inlineStr">
        <is>
          <t>Images</t>
        </is>
      </c>
      <c r="B5" s="13" t="inlineStr">
        <is>
          <t>1.4</t>
        </is>
      </c>
      <c r="C5" s="12" t="inlineStr">
        <is>
          <t>Pour chaque image utilisée comme CAPTCHA ou comme image-test, ayant une alternative textuelle, cette alternative permet-elle d'identifier la nature et la fonction de l'image ?</t>
        </is>
      </c>
      <c r="D5" s="14" t="inlineStr">
        <is>
          <t>NA</t>
        </is>
      </c>
      <c r="E5" s="14" t="inlineStr">
        <is>
          <t>NA</t>
        </is>
      </c>
      <c r="F5" s="14" t="inlineStr">
        <is>
          <t>NA</t>
        </is>
      </c>
      <c r="G5" s="14" t="inlineStr">
        <is>
          <t>NA</t>
        </is>
      </c>
      <c r="H5" s="14" t="inlineStr">
        <is>
          <t>NA</t>
        </is>
      </c>
      <c r="I5" s="14" t="inlineStr">
        <is>
          <t>NA</t>
        </is>
      </c>
      <c r="J5" s="14" t="inlineStr">
        <is>
          <t>NA</t>
        </is>
      </c>
      <c r="K5" s="15">
        <f>IF(COUNTIF(D5:J5,"NC")&gt;0,"NC",IF(COUNTIF(D5:J5,"AT")&gt;0,"AT",IF(COUNTIF(D5:J5,"C")&gt;0,"C","NA")))</f>
        <v/>
      </c>
      <c r="L5" s="12" t="inlineStr">
        <is>
          <t>Aucun CAPTCHA ni image-test.</t>
        </is>
      </c>
      <c r="M5" s="16" t="n"/>
      <c r="N5" s="17" t="inlineStr">
        <is>
          <t>Critère 1.4</t>
        </is>
      </c>
    </row>
    <row r="6">
      <c r="A6" s="12" t="inlineStr">
        <is>
          <t>Images</t>
        </is>
      </c>
      <c r="B6" s="13" t="inlineStr">
        <is>
          <t>1.5</t>
        </is>
      </c>
      <c r="C6" s="12" t="inlineStr">
        <is>
          <t>Pour chaque image utilisée comme CAPTCHA, une solution d'accès alternatif au contenu ou à la fonction du CAPTCHA est-elle présente ?</t>
        </is>
      </c>
      <c r="D6" s="14" t="inlineStr">
        <is>
          <t>NA</t>
        </is>
      </c>
      <c r="E6" s="14" t="inlineStr">
        <is>
          <t>NA</t>
        </is>
      </c>
      <c r="F6" s="14" t="inlineStr">
        <is>
          <t>NA</t>
        </is>
      </c>
      <c r="G6" s="14" t="inlineStr">
        <is>
          <t>NA</t>
        </is>
      </c>
      <c r="H6" s="14" t="inlineStr">
        <is>
          <t>NA</t>
        </is>
      </c>
      <c r="I6" s="14" t="inlineStr">
        <is>
          <t>NA</t>
        </is>
      </c>
      <c r="J6" s="14" t="inlineStr">
        <is>
          <t>NA</t>
        </is>
      </c>
      <c r="K6" s="15">
        <f>IF(COUNTIF(D6:J6,"NC")&gt;0,"NC",IF(COUNTIF(D6:J6,"AT")&gt;0,"AT",IF(COUNTIF(D6:J6,"C")&gt;0,"C","NA")))</f>
        <v/>
      </c>
      <c r="L6" s="12" t="inlineStr">
        <is>
          <t>Aucun CAPTCHA.</t>
        </is>
      </c>
      <c r="M6" s="16" t="n"/>
      <c r="N6" s="17" t="inlineStr">
        <is>
          <t>Critère 1.5</t>
        </is>
      </c>
    </row>
    <row r="7">
      <c r="A7" s="12" t="inlineStr">
        <is>
          <t>Images</t>
        </is>
      </c>
      <c r="B7" s="13" t="inlineStr">
        <is>
          <t>1.6</t>
        </is>
      </c>
      <c r="C7" s="12" t="inlineStr">
        <is>
          <t>Chaque image porteuse d'information a-t-elle, si nécessaire, une description détaillée ?</t>
        </is>
      </c>
      <c r="D7" s="14" t="inlineStr">
        <is>
          <t>NA</t>
        </is>
      </c>
      <c r="E7" s="14" t="inlineStr">
        <is>
          <t>NA</t>
        </is>
      </c>
      <c r="F7" s="14" t="inlineStr">
        <is>
          <t>NA</t>
        </is>
      </c>
      <c r="G7" s="14" t="inlineStr">
        <is>
          <t>C</t>
        </is>
      </c>
      <c r="H7" s="14" t="inlineStr">
        <is>
          <t>NA</t>
        </is>
      </c>
      <c r="I7" s="14" t="inlineStr">
        <is>
          <t>NA</t>
        </is>
      </c>
      <c r="J7" s="14" t="inlineStr">
        <is>
          <t>NA</t>
        </is>
      </c>
      <c r="K7" s="15">
        <f>IF(COUNTIF(D7:J7,"NC")&gt;0,"NC",IF(COUNTIF(D7:J7,"AT")&gt;0,"AT",IF(COUNTIF(D7:J7,"C")&gt;0,"C","NA")))</f>
        <v/>
      </c>
      <c r="L7" s="12" t="inlineStr">
        <is>
          <t>Carte des communes : la légende numérotée adjacente liste les communes de la zone (description détaillée). Les photos n'en nécessitent pas.</t>
        </is>
      </c>
      <c r="M7" s="16" t="n"/>
      <c r="N7" s="17" t="inlineStr">
        <is>
          <t>Critère 1.6</t>
        </is>
      </c>
    </row>
    <row r="8">
      <c r="A8" s="12" t="inlineStr">
        <is>
          <t>Images</t>
        </is>
      </c>
      <c r="B8" s="13" t="inlineStr">
        <is>
          <t>1.7</t>
        </is>
      </c>
      <c r="C8" s="12" t="inlineStr">
        <is>
          <t>Pour chaque image porteuse d'information ayant une description détaillée, cette description est-elle pertinente ?</t>
        </is>
      </c>
      <c r="D8" s="14" t="inlineStr">
        <is>
          <t>NA</t>
        </is>
      </c>
      <c r="E8" s="14" t="inlineStr">
        <is>
          <t>NA</t>
        </is>
      </c>
      <c r="F8" s="14" t="inlineStr">
        <is>
          <t>NA</t>
        </is>
      </c>
      <c r="G8" s="14" t="inlineStr">
        <is>
          <t>C</t>
        </is>
      </c>
      <c r="H8" s="14" t="inlineStr">
        <is>
          <t>NA</t>
        </is>
      </c>
      <c r="I8" s="14" t="inlineStr">
        <is>
          <t>NA</t>
        </is>
      </c>
      <c r="J8" s="14" t="inlineStr">
        <is>
          <t>NA</t>
        </is>
      </c>
      <c r="K8" s="15">
        <f>IF(COUNTIF(D8:J8,"NC")&gt;0,"NC",IF(COUNTIF(D8:J8,"AT")&gt;0,"AT",IF(COUNTIF(D8:J8,"C")&gt;0,"C","NA")))</f>
        <v/>
      </c>
      <c r="L8" s="12" t="inlineStr">
        <is>
          <t>La légende de la carte reprend les 4 communes de la zone d'intervention : pertinente.</t>
        </is>
      </c>
      <c r="M8" s="16" t="n"/>
      <c r="N8" s="17" t="inlineStr">
        <is>
          <t>Critère 1.7</t>
        </is>
      </c>
    </row>
    <row r="9">
      <c r="A9" s="12" t="inlineStr">
        <is>
          <t>Images</t>
        </is>
      </c>
      <c r="B9" s="13" t="inlineStr">
        <is>
          <t>1.8</t>
        </is>
      </c>
      <c r="C9" s="12" t="inlineStr">
        <is>
          <t>Chaque image texte porteuse d'information, en l'absence d'un mécanisme de remplacement, doit si possible être remplacée par du texte stylé. Cette règle est-elle respectée (hors cas particuliers) ?</t>
        </is>
      </c>
      <c r="D9" s="14" t="inlineStr">
        <is>
          <t>NA</t>
        </is>
      </c>
      <c r="E9" s="14" t="inlineStr">
        <is>
          <t>NA</t>
        </is>
      </c>
      <c r="F9" s="14" t="inlineStr">
        <is>
          <t>NA</t>
        </is>
      </c>
      <c r="G9" s="14" t="inlineStr">
        <is>
          <t>NA</t>
        </is>
      </c>
      <c r="H9" s="14" t="inlineStr">
        <is>
          <t>NA</t>
        </is>
      </c>
      <c r="I9" s="14" t="inlineStr">
        <is>
          <t>NA</t>
        </is>
      </c>
      <c r="J9" s="14" t="inlineStr">
        <is>
          <t>NA</t>
        </is>
      </c>
      <c r="K9" s="15">
        <f>IF(COUNTIF(D9:J9,"NC")&gt;0,"NC",IF(COUNTIF(D9:J9,"AT")&gt;0,"AT",IF(COUNTIF(D9:J9,"C")&gt;0,"C","NA")))</f>
        <v/>
      </c>
      <c r="L9" s="12" t="inlineStr">
        <is>
          <t>Aucune image texte porteuse d'information (le texte des photos n'est pas porteur d'information).</t>
        </is>
      </c>
      <c r="M9" s="16" t="n"/>
      <c r="N9" s="17" t="inlineStr">
        <is>
          <t>Critère 1.8</t>
        </is>
      </c>
    </row>
    <row r="10">
      <c r="A10" s="12" t="inlineStr">
        <is>
          <t>Images</t>
        </is>
      </c>
      <c r="B10" s="13" t="inlineStr">
        <is>
          <t>1.9</t>
        </is>
      </c>
      <c r="C10" s="12" t="inlineStr">
        <is>
          <t>Chaque légende d'image est-elle, si nécessaire, correctement reliée à l'image correspondante ?</t>
        </is>
      </c>
      <c r="D10" s="14" t="inlineStr">
        <is>
          <t>NA</t>
        </is>
      </c>
      <c r="E10" s="14" t="inlineStr">
        <is>
          <t>NA</t>
        </is>
      </c>
      <c r="F10" s="14" t="inlineStr">
        <is>
          <t>NA</t>
        </is>
      </c>
      <c r="G10" s="14" t="inlineStr">
        <is>
          <t>NA</t>
        </is>
      </c>
      <c r="H10" s="14" t="inlineStr">
        <is>
          <t>NA</t>
        </is>
      </c>
      <c r="I10" s="14" t="inlineStr">
        <is>
          <t>NA</t>
        </is>
      </c>
      <c r="J10" s="14" t="inlineStr">
        <is>
          <t>NA</t>
        </is>
      </c>
      <c r="K10" s="15">
        <f>IF(COUNTIF(D10:J10,"NC")&gt;0,"NC",IF(COUNTIF(D10:J10,"AT")&gt;0,"AT",IF(COUNTIF(D10:J10,"C")&gt;0,"C","NA")))</f>
        <v/>
      </c>
      <c r="L10" s="12" t="inlineStr">
        <is>
          <t>Aucune légende d'image (figure/figcaption).</t>
        </is>
      </c>
      <c r="M10" s="16" t="n"/>
      <c r="N10" s="17" t="inlineStr">
        <is>
          <t>Critère 1.9</t>
        </is>
      </c>
    </row>
    <row r="11">
      <c r="A11" s="12" t="inlineStr">
        <is>
          <t>Cadres</t>
        </is>
      </c>
      <c r="B11" s="13" t="inlineStr">
        <is>
          <t>2.1</t>
        </is>
      </c>
      <c r="C11" s="12" t="inlineStr">
        <is>
          <t>Chaque cadre a-t-il un titre de cadre ?</t>
        </is>
      </c>
      <c r="D11" s="14" t="inlineStr">
        <is>
          <t>NA</t>
        </is>
      </c>
      <c r="E11" s="14" t="inlineStr">
        <is>
          <t>NA</t>
        </is>
      </c>
      <c r="F11" s="14" t="inlineStr">
        <is>
          <t>NA</t>
        </is>
      </c>
      <c r="G11" s="14" t="inlineStr">
        <is>
          <t>NA</t>
        </is>
      </c>
      <c r="H11" s="14" t="inlineStr">
        <is>
          <t>NA</t>
        </is>
      </c>
      <c r="I11" s="14" t="inlineStr">
        <is>
          <t>NA</t>
        </is>
      </c>
      <c r="J11" s="14" t="inlineStr">
        <is>
          <t>NA</t>
        </is>
      </c>
      <c r="K11" s="15">
        <f>IF(COUNTIF(D11:J11,"NC")&gt;0,"NC",IF(COUNTIF(D11:J11,"AT")&gt;0,"AT",IF(COUNTIF(D11:J11,"C")&gt;0,"C","NA")))</f>
        <v/>
      </c>
      <c r="L11" s="12" t="inlineStr">
        <is>
          <t>Aucun cadre (iframe).</t>
        </is>
      </c>
      <c r="M11" s="16" t="n"/>
      <c r="N11" s="17" t="inlineStr">
        <is>
          <t>Critère 2.1</t>
        </is>
      </c>
    </row>
    <row r="12">
      <c r="A12" s="12" t="inlineStr">
        <is>
          <t>Cadres</t>
        </is>
      </c>
      <c r="B12" s="13" t="inlineStr">
        <is>
          <t>2.2</t>
        </is>
      </c>
      <c r="C12" s="12" t="inlineStr">
        <is>
          <t>Pour chaque cadre ayant un titre de cadre, ce titre de cadre est-il pertinent ?</t>
        </is>
      </c>
      <c r="D12" s="14" t="inlineStr">
        <is>
          <t>NA</t>
        </is>
      </c>
      <c r="E12" s="14" t="inlineStr">
        <is>
          <t>NA</t>
        </is>
      </c>
      <c r="F12" s="14" t="inlineStr">
        <is>
          <t>NA</t>
        </is>
      </c>
      <c r="G12" s="14" t="inlineStr">
        <is>
          <t>NA</t>
        </is>
      </c>
      <c r="H12" s="14" t="inlineStr">
        <is>
          <t>NA</t>
        </is>
      </c>
      <c r="I12" s="14" t="inlineStr">
        <is>
          <t>NA</t>
        </is>
      </c>
      <c r="J12" s="14" t="inlineStr">
        <is>
          <t>NA</t>
        </is>
      </c>
      <c r="K12" s="15">
        <f>IF(COUNTIF(D12:J12,"NC")&gt;0,"NC",IF(COUNTIF(D12:J12,"AT")&gt;0,"AT",IF(COUNTIF(D12:J12,"C")&gt;0,"C","NA")))</f>
        <v/>
      </c>
      <c r="L12" s="12" t="inlineStr">
        <is>
          <t>Aucun cadre.</t>
        </is>
      </c>
      <c r="M12" s="16" t="n"/>
      <c r="N12" s="17" t="inlineStr">
        <is>
          <t>Critère 2.2</t>
        </is>
      </c>
    </row>
    <row r="13">
      <c r="A13" s="12" t="inlineStr">
        <is>
          <t>Couleurs</t>
        </is>
      </c>
      <c r="B13" s="13" t="inlineStr">
        <is>
          <t>3.1</t>
        </is>
      </c>
      <c r="C13" s="12" t="inlineStr">
        <is>
          <t>Dans chaque page web, l'information ne doit pas être donnée uniquement par la couleur. Cette règle est-elle respectée ?</t>
        </is>
      </c>
      <c r="D13" s="14" t="inlineStr">
        <is>
          <t>C</t>
        </is>
      </c>
      <c r="E13" s="14" t="inlineStr">
        <is>
          <t>C</t>
        </is>
      </c>
      <c r="F13" s="14" t="inlineStr">
        <is>
          <t>C</t>
        </is>
      </c>
      <c r="G13" s="14" t="inlineStr">
        <is>
          <t>AT</t>
        </is>
      </c>
      <c r="H13" s="14" t="inlineStr">
        <is>
          <t>C</t>
        </is>
      </c>
      <c r="I13" s="14" t="inlineStr">
        <is>
          <t>C</t>
        </is>
      </c>
      <c r="J13" s="14" t="inlineStr">
        <is>
          <t>C</t>
        </is>
      </c>
      <c r="K13" s="15">
        <f>IF(COUNTIF(D13:J13,"NC")&gt;0,"NC",IF(COUNTIF(D13:J13,"AT")&gt;0,"AT",IF(COUNTIF(D13:J13,"C")&gt;0,"C","NA")))</f>
        <v/>
      </c>
      <c r="L13" s="12" t="inlineStr">
        <is>
          <t>Lien actif du menu : couleur + barre + aria-current="page". Champs requis : astérisque + légende « Champs requis ». Contact : vérifier que la carte distingue la zone autrement que par la couleur (numéros).</t>
        </is>
      </c>
      <c r="M13" s="16" t="n"/>
      <c r="N13" s="17" t="inlineStr">
        <is>
          <t>Critère 3.1</t>
        </is>
      </c>
    </row>
    <row r="14">
      <c r="A14" s="12" t="inlineStr">
        <is>
          <t>Couleurs</t>
        </is>
      </c>
      <c r="B14" s="13" t="inlineStr">
        <is>
          <t>3.2</t>
        </is>
      </c>
      <c r="C14" s="12" t="inlineStr">
        <is>
          <t>Dans chaque page web, le contraste entre la couleur du texte et la couleur de son arrière-plan est-il suffisamment élevé (hors cas particuliers) ?</t>
        </is>
      </c>
      <c r="D14" s="14" t="inlineStr">
        <is>
          <t>C</t>
        </is>
      </c>
      <c r="E14" s="14" t="inlineStr">
        <is>
          <t>C</t>
        </is>
      </c>
      <c r="F14" s="14" t="inlineStr">
        <is>
          <t>C</t>
        </is>
      </c>
      <c r="G14" s="14" t="inlineStr">
        <is>
          <t>C</t>
        </is>
      </c>
      <c r="H14" s="14" t="inlineStr">
        <is>
          <t>C</t>
        </is>
      </c>
      <c r="I14" s="14" t="inlineStr">
        <is>
          <t>C</t>
        </is>
      </c>
      <c r="J14" s="14" t="inlineStr">
        <is>
          <t>C</t>
        </is>
      </c>
      <c r="K14" s="15">
        <f>IF(COUNTIF(D14:J14,"NC")&gt;0,"NC",IF(COUNTIF(D14:J14,"AT")&gt;0,"AT",IF(COUNTIF(D14:J14,"C")&gt;0,"C","NA")))</f>
        <v/>
      </c>
      <c r="L14" s="12" t="inlineStr">
        <is>
          <t>axe-core (WCAG 2.1 AA, contraste inclus) : 0 violation en thème clair et en thème sombre. Seuls les grands numéros décoratifs 01-03 d'À propos (aria-hidden) sont sous le seuil : cas particulier « texte purement décoratif ».</t>
        </is>
      </c>
      <c r="M14" s="16" t="n"/>
      <c r="N14" s="17" t="inlineStr">
        <is>
          <t>Critère 3.2</t>
        </is>
      </c>
    </row>
    <row r="15">
      <c r="A15" s="12" t="inlineStr">
        <is>
          <t>Couleurs</t>
        </is>
      </c>
      <c r="B15" s="13" t="inlineStr">
        <is>
          <t>3.3</t>
        </is>
      </c>
      <c r="C15" s="12" t="inlineStr">
        <is>
          <t>Dans chaque page web, les couleurs utilisées dans les composants d'interface ou les éléments graphiques porteurs d'informations sont-elles suffisamment contrastées (hors cas particuliers) ?</t>
        </is>
      </c>
      <c r="D15" s="14" t="inlineStr">
        <is>
          <t>C</t>
        </is>
      </c>
      <c r="E15" s="14" t="inlineStr">
        <is>
          <t>C</t>
        </is>
      </c>
      <c r="F15" s="14" t="inlineStr">
        <is>
          <t>C</t>
        </is>
      </c>
      <c r="G15" s="14" t="inlineStr">
        <is>
          <t>C</t>
        </is>
      </c>
      <c r="H15" s="14" t="inlineStr">
        <is>
          <t>C</t>
        </is>
      </c>
      <c r="I15" s="14" t="inlineStr">
        <is>
          <t>C</t>
        </is>
      </c>
      <c r="J15" s="14" t="inlineStr">
        <is>
          <t>C</t>
        </is>
      </c>
      <c r="K15" s="15">
        <f>IF(COUNTIF(D15:J15,"NC")&gt;0,"NC",IF(COUNTIF(D15:J15,"AT")&gt;0,"AT",IF(COUNTIF(D15:J15,"C")&gt;0,"C","NA")))</f>
        <v/>
      </c>
      <c r="L15" s="12" t="inlineStr">
        <is>
          <t>Corrigé le 21/09/2026 : bordure des champs et des puces de choix en --ink-quiet (5,57:1 sur blanc en clair, 4,75:1 en sombre ; seuil 3:1). Les boutons à bordure (thème, menu) sont identifiables par leur icône, contrastée.</t>
        </is>
      </c>
      <c r="M15" s="16" t="n"/>
      <c r="N15" s="17" t="inlineStr">
        <is>
          <t>Critère 3.3</t>
        </is>
      </c>
    </row>
    <row r="16">
      <c r="A16" s="12" t="inlineStr">
        <is>
          <t>Multimédia</t>
        </is>
      </c>
      <c r="B16" s="13" t="inlineStr">
        <is>
          <t>4.1</t>
        </is>
      </c>
      <c r="C16" s="12" t="inlineStr">
        <is>
          <t>Chaque média temporel pré-enregistré a-t-il, si nécessaire, une transcription textuelle ou une audiodescription (hors cas particuliers) ?</t>
        </is>
      </c>
      <c r="D16" s="14" t="inlineStr">
        <is>
          <t>NA</t>
        </is>
      </c>
      <c r="E16" s="14" t="inlineStr">
        <is>
          <t>NA</t>
        </is>
      </c>
      <c r="F16" s="14" t="inlineStr">
        <is>
          <t>NA</t>
        </is>
      </c>
      <c r="G16" s="14" t="inlineStr">
        <is>
          <t>NA</t>
        </is>
      </c>
      <c r="H16" s="14" t="inlineStr">
        <is>
          <t>NA</t>
        </is>
      </c>
      <c r="I16" s="14" t="inlineStr">
        <is>
          <t>NA</t>
        </is>
      </c>
      <c r="J16" s="14" t="inlineStr">
        <is>
          <t>NA</t>
        </is>
      </c>
      <c r="K16" s="15">
        <f>IF(COUNTIF(D16:J16,"NC")&gt;0,"NC",IF(COUNTIF(D16:J16,"AT")&gt;0,"AT",IF(COUNTIF(D16:J16,"C")&gt;0,"C","NA")))</f>
        <v/>
      </c>
      <c r="L16" s="12" t="inlineStr">
        <is>
          <t>Aucun média temporel ou non temporel.</t>
        </is>
      </c>
      <c r="M16" s="16" t="n"/>
      <c r="N16" s="17" t="inlineStr">
        <is>
          <t>Critère 4.1</t>
        </is>
      </c>
    </row>
    <row r="17">
      <c r="A17" s="12" t="inlineStr">
        <is>
          <t>Multimédia</t>
        </is>
      </c>
      <c r="B17" s="13" t="inlineStr">
        <is>
          <t>4.2</t>
        </is>
      </c>
      <c r="C17" s="12" t="inlineStr">
        <is>
          <t>Pour chaque média temporel pré-enregistré ayant une transcription textuelle ou une audiodescription synchronisée, celles-ci sont-elles pertinentes (hors cas particuliers) ?</t>
        </is>
      </c>
      <c r="D17" s="14" t="inlineStr">
        <is>
          <t>NA</t>
        </is>
      </c>
      <c r="E17" s="14" t="inlineStr">
        <is>
          <t>NA</t>
        </is>
      </c>
      <c r="F17" s="14" t="inlineStr">
        <is>
          <t>NA</t>
        </is>
      </c>
      <c r="G17" s="14" t="inlineStr">
        <is>
          <t>NA</t>
        </is>
      </c>
      <c r="H17" s="14" t="inlineStr">
        <is>
          <t>NA</t>
        </is>
      </c>
      <c r="I17" s="14" t="inlineStr">
        <is>
          <t>NA</t>
        </is>
      </c>
      <c r="J17" s="14" t="inlineStr">
        <is>
          <t>NA</t>
        </is>
      </c>
      <c r="K17" s="15">
        <f>IF(COUNTIF(D17:J17,"NC")&gt;0,"NC",IF(COUNTIF(D17:J17,"AT")&gt;0,"AT",IF(COUNTIF(D17:J17,"C")&gt;0,"C","NA")))</f>
        <v/>
      </c>
      <c r="L17" s="12" t="inlineStr">
        <is>
          <t>Aucun média temporel ou non temporel.</t>
        </is>
      </c>
      <c r="M17" s="16" t="n"/>
      <c r="N17" s="17" t="inlineStr">
        <is>
          <t>Critère 4.2</t>
        </is>
      </c>
    </row>
    <row r="18">
      <c r="A18" s="12" t="inlineStr">
        <is>
          <t>Multimédia</t>
        </is>
      </c>
      <c r="B18" s="13" t="inlineStr">
        <is>
          <t>4.3</t>
        </is>
      </c>
      <c r="C18" s="12" t="inlineStr">
        <is>
          <t>Chaque média temporel synchronisé pré-enregistré a-t-il, si nécessaire, des sous-titres synchronisés (hors cas particuliers) ?</t>
        </is>
      </c>
      <c r="D18" s="14" t="inlineStr">
        <is>
          <t>NA</t>
        </is>
      </c>
      <c r="E18" s="14" t="inlineStr">
        <is>
          <t>NA</t>
        </is>
      </c>
      <c r="F18" s="14" t="inlineStr">
        <is>
          <t>NA</t>
        </is>
      </c>
      <c r="G18" s="14" t="inlineStr">
        <is>
          <t>NA</t>
        </is>
      </c>
      <c r="H18" s="14" t="inlineStr">
        <is>
          <t>NA</t>
        </is>
      </c>
      <c r="I18" s="14" t="inlineStr">
        <is>
          <t>NA</t>
        </is>
      </c>
      <c r="J18" s="14" t="inlineStr">
        <is>
          <t>NA</t>
        </is>
      </c>
      <c r="K18" s="15">
        <f>IF(COUNTIF(D18:J18,"NC")&gt;0,"NC",IF(COUNTIF(D18:J18,"AT")&gt;0,"AT",IF(COUNTIF(D18:J18,"C")&gt;0,"C","NA")))</f>
        <v/>
      </c>
      <c r="L18" s="12" t="inlineStr">
        <is>
          <t>Aucun média temporel ou non temporel.</t>
        </is>
      </c>
      <c r="M18" s="16" t="n"/>
      <c r="N18" s="17" t="inlineStr">
        <is>
          <t>Critère 4.3</t>
        </is>
      </c>
    </row>
    <row r="19">
      <c r="A19" s="12" t="inlineStr">
        <is>
          <t>Multimédia</t>
        </is>
      </c>
      <c r="B19" s="13" t="inlineStr">
        <is>
          <t>4.4</t>
        </is>
      </c>
      <c r="C19" s="12" t="inlineStr">
        <is>
          <t>Pour chaque média temporel synchronisé pré-enregistré ayant des sous-titres synchronisés, ces sous-titres sont-ils pertinents ?</t>
        </is>
      </c>
      <c r="D19" s="14" t="inlineStr">
        <is>
          <t>NA</t>
        </is>
      </c>
      <c r="E19" s="14" t="inlineStr">
        <is>
          <t>NA</t>
        </is>
      </c>
      <c r="F19" s="14" t="inlineStr">
        <is>
          <t>NA</t>
        </is>
      </c>
      <c r="G19" s="14" t="inlineStr">
        <is>
          <t>NA</t>
        </is>
      </c>
      <c r="H19" s="14" t="inlineStr">
        <is>
          <t>NA</t>
        </is>
      </c>
      <c r="I19" s="14" t="inlineStr">
        <is>
          <t>NA</t>
        </is>
      </c>
      <c r="J19" s="14" t="inlineStr">
        <is>
          <t>NA</t>
        </is>
      </c>
      <c r="K19" s="15">
        <f>IF(COUNTIF(D19:J19,"NC")&gt;0,"NC",IF(COUNTIF(D19:J19,"AT")&gt;0,"AT",IF(COUNTIF(D19:J19,"C")&gt;0,"C","NA")))</f>
        <v/>
      </c>
      <c r="L19" s="12" t="inlineStr">
        <is>
          <t>Aucun média temporel ou non temporel.</t>
        </is>
      </c>
      <c r="M19" s="16" t="n"/>
      <c r="N19" s="17" t="inlineStr">
        <is>
          <t>Critère 4.4</t>
        </is>
      </c>
    </row>
    <row r="20">
      <c r="A20" s="12" t="inlineStr">
        <is>
          <t>Multimédia</t>
        </is>
      </c>
      <c r="B20" s="13" t="inlineStr">
        <is>
          <t>4.5</t>
        </is>
      </c>
      <c r="C20" s="12" t="inlineStr">
        <is>
          <t>Chaque média temporel pré-enregistré a-t-il, si nécessaire, une audiodescription synchronisée (hors cas particuliers) ?</t>
        </is>
      </c>
      <c r="D20" s="14" t="inlineStr">
        <is>
          <t>NA</t>
        </is>
      </c>
      <c r="E20" s="14" t="inlineStr">
        <is>
          <t>NA</t>
        </is>
      </c>
      <c r="F20" s="14" t="inlineStr">
        <is>
          <t>NA</t>
        </is>
      </c>
      <c r="G20" s="14" t="inlineStr">
        <is>
          <t>NA</t>
        </is>
      </c>
      <c r="H20" s="14" t="inlineStr">
        <is>
          <t>NA</t>
        </is>
      </c>
      <c r="I20" s="14" t="inlineStr">
        <is>
          <t>NA</t>
        </is>
      </c>
      <c r="J20" s="14" t="inlineStr">
        <is>
          <t>NA</t>
        </is>
      </c>
      <c r="K20" s="15">
        <f>IF(COUNTIF(D20:J20,"NC")&gt;0,"NC",IF(COUNTIF(D20:J20,"AT")&gt;0,"AT",IF(COUNTIF(D20:J20,"C")&gt;0,"C","NA")))</f>
        <v/>
      </c>
      <c r="L20" s="12" t="inlineStr">
        <is>
          <t>Aucun média temporel ou non temporel.</t>
        </is>
      </c>
      <c r="M20" s="16" t="n"/>
      <c r="N20" s="17" t="inlineStr">
        <is>
          <t>Critère 4.5</t>
        </is>
      </c>
    </row>
    <row r="21">
      <c r="A21" s="12" t="inlineStr">
        <is>
          <t>Multimédia</t>
        </is>
      </c>
      <c r="B21" s="13" t="inlineStr">
        <is>
          <t>4.6</t>
        </is>
      </c>
      <c r="C21" s="12" t="inlineStr">
        <is>
          <t>Pour chaque média temporel pré-enregistré ayant une audiodescription synchronisée, celle-ci est-elle pertinente ?</t>
        </is>
      </c>
      <c r="D21" s="14" t="inlineStr">
        <is>
          <t>NA</t>
        </is>
      </c>
      <c r="E21" s="14" t="inlineStr">
        <is>
          <t>NA</t>
        </is>
      </c>
      <c r="F21" s="14" t="inlineStr">
        <is>
          <t>NA</t>
        </is>
      </c>
      <c r="G21" s="14" t="inlineStr">
        <is>
          <t>NA</t>
        </is>
      </c>
      <c r="H21" s="14" t="inlineStr">
        <is>
          <t>NA</t>
        </is>
      </c>
      <c r="I21" s="14" t="inlineStr">
        <is>
          <t>NA</t>
        </is>
      </c>
      <c r="J21" s="14" t="inlineStr">
        <is>
          <t>NA</t>
        </is>
      </c>
      <c r="K21" s="15">
        <f>IF(COUNTIF(D21:J21,"NC")&gt;0,"NC",IF(COUNTIF(D21:J21,"AT")&gt;0,"AT",IF(COUNTIF(D21:J21,"C")&gt;0,"C","NA")))</f>
        <v/>
      </c>
      <c r="L21" s="12" t="inlineStr">
        <is>
          <t>Aucun média temporel ou non temporel.</t>
        </is>
      </c>
      <c r="M21" s="16" t="n"/>
      <c r="N21" s="17" t="inlineStr">
        <is>
          <t>Critère 4.6</t>
        </is>
      </c>
    </row>
    <row r="22">
      <c r="A22" s="12" t="inlineStr">
        <is>
          <t>Multimédia</t>
        </is>
      </c>
      <c r="B22" s="13" t="inlineStr">
        <is>
          <t>4.7</t>
        </is>
      </c>
      <c r="C22" s="12" t="inlineStr">
        <is>
          <t>Chaque média temporel est-il clairement identifiable (hors cas particuliers) ?</t>
        </is>
      </c>
      <c r="D22" s="14" t="inlineStr">
        <is>
          <t>NA</t>
        </is>
      </c>
      <c r="E22" s="14" t="inlineStr">
        <is>
          <t>NA</t>
        </is>
      </c>
      <c r="F22" s="14" t="inlineStr">
        <is>
          <t>NA</t>
        </is>
      </c>
      <c r="G22" s="14" t="inlineStr">
        <is>
          <t>NA</t>
        </is>
      </c>
      <c r="H22" s="14" t="inlineStr">
        <is>
          <t>NA</t>
        </is>
      </c>
      <c r="I22" s="14" t="inlineStr">
        <is>
          <t>NA</t>
        </is>
      </c>
      <c r="J22" s="14" t="inlineStr">
        <is>
          <t>NA</t>
        </is>
      </c>
      <c r="K22" s="15">
        <f>IF(COUNTIF(D22:J22,"NC")&gt;0,"NC",IF(COUNTIF(D22:J22,"AT")&gt;0,"AT",IF(COUNTIF(D22:J22,"C")&gt;0,"C","NA")))</f>
        <v/>
      </c>
      <c r="L22" s="12" t="inlineStr">
        <is>
          <t>Aucun média temporel ou non temporel.</t>
        </is>
      </c>
      <c r="M22" s="16" t="n"/>
      <c r="N22" s="17" t="inlineStr">
        <is>
          <t>Critère 4.7</t>
        </is>
      </c>
    </row>
    <row r="23">
      <c r="A23" s="12" t="inlineStr">
        <is>
          <t>Multimédia</t>
        </is>
      </c>
      <c r="B23" s="13" t="inlineStr">
        <is>
          <t>4.8</t>
        </is>
      </c>
      <c r="C23" s="12" t="inlineStr">
        <is>
          <t>Chaque média non temporel a-t-il, si nécessaire, une alternative (hors cas particuliers) ?</t>
        </is>
      </c>
      <c r="D23" s="14" t="inlineStr">
        <is>
          <t>NA</t>
        </is>
      </c>
      <c r="E23" s="14" t="inlineStr">
        <is>
          <t>NA</t>
        </is>
      </c>
      <c r="F23" s="14" t="inlineStr">
        <is>
          <t>NA</t>
        </is>
      </c>
      <c r="G23" s="14" t="inlineStr">
        <is>
          <t>NA</t>
        </is>
      </c>
      <c r="H23" s="14" t="inlineStr">
        <is>
          <t>NA</t>
        </is>
      </c>
      <c r="I23" s="14" t="inlineStr">
        <is>
          <t>NA</t>
        </is>
      </c>
      <c r="J23" s="14" t="inlineStr">
        <is>
          <t>NA</t>
        </is>
      </c>
      <c r="K23" s="15">
        <f>IF(COUNTIF(D23:J23,"NC")&gt;0,"NC",IF(COUNTIF(D23:J23,"AT")&gt;0,"AT",IF(COUNTIF(D23:J23,"C")&gt;0,"C","NA")))</f>
        <v/>
      </c>
      <c r="L23" s="12" t="inlineStr">
        <is>
          <t>Aucun média temporel ou non temporel.</t>
        </is>
      </c>
      <c r="M23" s="16" t="n"/>
      <c r="N23" s="17" t="inlineStr">
        <is>
          <t>Critère 4.8</t>
        </is>
      </c>
    </row>
    <row r="24">
      <c r="A24" s="12" t="inlineStr">
        <is>
          <t>Multimédia</t>
        </is>
      </c>
      <c r="B24" s="13" t="inlineStr">
        <is>
          <t>4.9</t>
        </is>
      </c>
      <c r="C24" s="12" t="inlineStr">
        <is>
          <t>Pour chaque média non temporel ayant une alternative, cette alternative est-elle pertinente ?</t>
        </is>
      </c>
      <c r="D24" s="14" t="inlineStr">
        <is>
          <t>NA</t>
        </is>
      </c>
      <c r="E24" s="14" t="inlineStr">
        <is>
          <t>NA</t>
        </is>
      </c>
      <c r="F24" s="14" t="inlineStr">
        <is>
          <t>NA</t>
        </is>
      </c>
      <c r="G24" s="14" t="inlineStr">
        <is>
          <t>NA</t>
        </is>
      </c>
      <c r="H24" s="14" t="inlineStr">
        <is>
          <t>NA</t>
        </is>
      </c>
      <c r="I24" s="14" t="inlineStr">
        <is>
          <t>NA</t>
        </is>
      </c>
      <c r="J24" s="14" t="inlineStr">
        <is>
          <t>NA</t>
        </is>
      </c>
      <c r="K24" s="15">
        <f>IF(COUNTIF(D24:J24,"NC")&gt;0,"NC",IF(COUNTIF(D24:J24,"AT")&gt;0,"AT",IF(COUNTIF(D24:J24,"C")&gt;0,"C","NA")))</f>
        <v/>
      </c>
      <c r="L24" s="12" t="inlineStr">
        <is>
          <t>Aucun média temporel ou non temporel.</t>
        </is>
      </c>
      <c r="M24" s="16" t="n"/>
      <c r="N24" s="17" t="inlineStr">
        <is>
          <t>Critère 4.9</t>
        </is>
      </c>
    </row>
    <row r="25">
      <c r="A25" s="12" t="inlineStr">
        <is>
          <t>Multimédia</t>
        </is>
      </c>
      <c r="B25" s="13" t="inlineStr">
        <is>
          <t>4.10</t>
        </is>
      </c>
      <c r="C25" s="12" t="inlineStr">
        <is>
          <t>Chaque son déclenché automatiquement est-il contrôlable par l'utilisateur ?</t>
        </is>
      </c>
      <c r="D25" s="14" t="inlineStr">
        <is>
          <t>NA</t>
        </is>
      </c>
      <c r="E25" s="14" t="inlineStr">
        <is>
          <t>NA</t>
        </is>
      </c>
      <c r="F25" s="14" t="inlineStr">
        <is>
          <t>NA</t>
        </is>
      </c>
      <c r="G25" s="14" t="inlineStr">
        <is>
          <t>NA</t>
        </is>
      </c>
      <c r="H25" s="14" t="inlineStr">
        <is>
          <t>NA</t>
        </is>
      </c>
      <c r="I25" s="14" t="inlineStr">
        <is>
          <t>NA</t>
        </is>
      </c>
      <c r="J25" s="14" t="inlineStr">
        <is>
          <t>NA</t>
        </is>
      </c>
      <c r="K25" s="15">
        <f>IF(COUNTIF(D25:J25,"NC")&gt;0,"NC",IF(COUNTIF(D25:J25,"AT")&gt;0,"AT",IF(COUNTIF(D25:J25,"C")&gt;0,"C","NA")))</f>
        <v/>
      </c>
      <c r="L25" s="12" t="inlineStr">
        <is>
          <t>Aucun média temporel ou non temporel.</t>
        </is>
      </c>
      <c r="M25" s="16" t="n"/>
      <c r="N25" s="17" t="inlineStr">
        <is>
          <t>Critère 4.10</t>
        </is>
      </c>
    </row>
    <row r="26">
      <c r="A26" s="12" t="inlineStr">
        <is>
          <t>Multimédia</t>
        </is>
      </c>
      <c r="B26" s="13" t="inlineStr">
        <is>
          <t>4.11</t>
        </is>
      </c>
      <c r="C26" s="12" t="inlineStr">
        <is>
          <t>La consultation de chaque média temporel est-elle, si nécessaire, contrôlable par le clavier et tout dispositif de pointage ?</t>
        </is>
      </c>
      <c r="D26" s="14" t="inlineStr">
        <is>
          <t>NA</t>
        </is>
      </c>
      <c r="E26" s="14" t="inlineStr">
        <is>
          <t>NA</t>
        </is>
      </c>
      <c r="F26" s="14" t="inlineStr">
        <is>
          <t>NA</t>
        </is>
      </c>
      <c r="G26" s="14" t="inlineStr">
        <is>
          <t>NA</t>
        </is>
      </c>
      <c r="H26" s="14" t="inlineStr">
        <is>
          <t>NA</t>
        </is>
      </c>
      <c r="I26" s="14" t="inlineStr">
        <is>
          <t>NA</t>
        </is>
      </c>
      <c r="J26" s="14" t="inlineStr">
        <is>
          <t>NA</t>
        </is>
      </c>
      <c r="K26" s="15">
        <f>IF(COUNTIF(D26:J26,"NC")&gt;0,"NC",IF(COUNTIF(D26:J26,"AT")&gt;0,"AT",IF(COUNTIF(D26:J26,"C")&gt;0,"C","NA")))</f>
        <v/>
      </c>
      <c r="L26" s="12" t="inlineStr">
        <is>
          <t>Aucun média temporel ou non temporel.</t>
        </is>
      </c>
      <c r="M26" s="16" t="n"/>
      <c r="N26" s="17" t="inlineStr">
        <is>
          <t>Critère 4.11</t>
        </is>
      </c>
    </row>
    <row r="27">
      <c r="A27" s="12" t="inlineStr">
        <is>
          <t>Multimédia</t>
        </is>
      </c>
      <c r="B27" s="13" t="inlineStr">
        <is>
          <t>4.12</t>
        </is>
      </c>
      <c r="C27" s="12" t="inlineStr">
        <is>
          <t>La consultation de chaque média non temporel est-elle contrôlable par le clavier et tout dispositif de pointage ?</t>
        </is>
      </c>
      <c r="D27" s="14" t="inlineStr">
        <is>
          <t>NA</t>
        </is>
      </c>
      <c r="E27" s="14" t="inlineStr">
        <is>
          <t>NA</t>
        </is>
      </c>
      <c r="F27" s="14" t="inlineStr">
        <is>
          <t>NA</t>
        </is>
      </c>
      <c r="G27" s="14" t="inlineStr">
        <is>
          <t>NA</t>
        </is>
      </c>
      <c r="H27" s="14" t="inlineStr">
        <is>
          <t>NA</t>
        </is>
      </c>
      <c r="I27" s="14" t="inlineStr">
        <is>
          <t>NA</t>
        </is>
      </c>
      <c r="J27" s="14" t="inlineStr">
        <is>
          <t>NA</t>
        </is>
      </c>
      <c r="K27" s="15">
        <f>IF(COUNTIF(D27:J27,"NC")&gt;0,"NC",IF(COUNTIF(D27:J27,"AT")&gt;0,"AT",IF(COUNTIF(D27:J27,"C")&gt;0,"C","NA")))</f>
        <v/>
      </c>
      <c r="L27" s="12" t="inlineStr">
        <is>
          <t>Aucun média temporel ou non temporel.</t>
        </is>
      </c>
      <c r="M27" s="16" t="n"/>
      <c r="N27" s="17" t="inlineStr">
        <is>
          <t>Critère 4.12</t>
        </is>
      </c>
    </row>
    <row r="28">
      <c r="A28" s="12" t="inlineStr">
        <is>
          <t>Multimédia</t>
        </is>
      </c>
      <c r="B28" s="13" t="inlineStr">
        <is>
          <t>4.13</t>
        </is>
      </c>
      <c r="C28" s="12" t="inlineStr">
        <is>
          <t>Chaque média temporel et non temporel est-il compatible avec les technologies d'assistance (hors cas particuliers) ?</t>
        </is>
      </c>
      <c r="D28" s="14" t="inlineStr">
        <is>
          <t>NA</t>
        </is>
      </c>
      <c r="E28" s="14" t="inlineStr">
        <is>
          <t>NA</t>
        </is>
      </c>
      <c r="F28" s="14" t="inlineStr">
        <is>
          <t>NA</t>
        </is>
      </c>
      <c r="G28" s="14" t="inlineStr">
        <is>
          <t>NA</t>
        </is>
      </c>
      <c r="H28" s="14" t="inlineStr">
        <is>
          <t>NA</t>
        </is>
      </c>
      <c r="I28" s="14" t="inlineStr">
        <is>
          <t>NA</t>
        </is>
      </c>
      <c r="J28" s="14" t="inlineStr">
        <is>
          <t>NA</t>
        </is>
      </c>
      <c r="K28" s="15">
        <f>IF(COUNTIF(D28:J28,"NC")&gt;0,"NC",IF(COUNTIF(D28:J28,"AT")&gt;0,"AT",IF(COUNTIF(D28:J28,"C")&gt;0,"C","NA")))</f>
        <v/>
      </c>
      <c r="L28" s="12" t="inlineStr">
        <is>
          <t>Aucun média temporel ou non temporel.</t>
        </is>
      </c>
      <c r="M28" s="16" t="n"/>
      <c r="N28" s="17" t="inlineStr">
        <is>
          <t>Critère 4.13</t>
        </is>
      </c>
    </row>
    <row r="29">
      <c r="A29" s="12" t="inlineStr">
        <is>
          <t>Tableaux</t>
        </is>
      </c>
      <c r="B29" s="13" t="inlineStr">
        <is>
          <t>5.1</t>
        </is>
      </c>
      <c r="C29" s="12" t="inlineStr">
        <is>
          <t>Chaque tableau de données complexe a-t-il un résumé ?</t>
        </is>
      </c>
      <c r="D29" s="14" t="inlineStr">
        <is>
          <t>NA</t>
        </is>
      </c>
      <c r="E29" s="14" t="inlineStr">
        <is>
          <t>NA</t>
        </is>
      </c>
      <c r="F29" s="14" t="inlineStr">
        <is>
          <t>NA</t>
        </is>
      </c>
      <c r="G29" s="14" t="inlineStr">
        <is>
          <t>NA</t>
        </is>
      </c>
      <c r="H29" s="14" t="inlineStr">
        <is>
          <t>NA</t>
        </is>
      </c>
      <c r="I29" s="14" t="inlineStr">
        <is>
          <t>NA</t>
        </is>
      </c>
      <c r="J29" s="14" t="inlineStr">
        <is>
          <t>NA</t>
        </is>
      </c>
      <c r="K29" s="15">
        <f>IF(COUNTIF(D29:J29,"NC")&gt;0,"NC",IF(COUNTIF(D29:J29,"AT")&gt;0,"AT",IF(COUNTIF(D29:J29,"C")&gt;0,"C","NA")))</f>
        <v/>
      </c>
      <c r="L29" s="12" t="inlineStr">
        <is>
          <t>Aucun tableau.</t>
        </is>
      </c>
      <c r="M29" s="16" t="n"/>
      <c r="N29" s="17" t="inlineStr">
        <is>
          <t>Critère 5.1</t>
        </is>
      </c>
    </row>
    <row r="30">
      <c r="A30" s="12" t="inlineStr">
        <is>
          <t>Tableaux</t>
        </is>
      </c>
      <c r="B30" s="13" t="inlineStr">
        <is>
          <t>5.2</t>
        </is>
      </c>
      <c r="C30" s="12" t="inlineStr">
        <is>
          <t>Pour chaque tableau de données complexe ayant un résumé, celui-ci est-il pertinent ?</t>
        </is>
      </c>
      <c r="D30" s="14" t="inlineStr">
        <is>
          <t>NA</t>
        </is>
      </c>
      <c r="E30" s="14" t="inlineStr">
        <is>
          <t>NA</t>
        </is>
      </c>
      <c r="F30" s="14" t="inlineStr">
        <is>
          <t>NA</t>
        </is>
      </c>
      <c r="G30" s="14" t="inlineStr">
        <is>
          <t>NA</t>
        </is>
      </c>
      <c r="H30" s="14" t="inlineStr">
        <is>
          <t>NA</t>
        </is>
      </c>
      <c r="I30" s="14" t="inlineStr">
        <is>
          <t>NA</t>
        </is>
      </c>
      <c r="J30" s="14" t="inlineStr">
        <is>
          <t>NA</t>
        </is>
      </c>
      <c r="K30" s="15">
        <f>IF(COUNTIF(D30:J30,"NC")&gt;0,"NC",IF(COUNTIF(D30:J30,"AT")&gt;0,"AT",IF(COUNTIF(D30:J30,"C")&gt;0,"C","NA")))</f>
        <v/>
      </c>
      <c r="L30" s="12" t="inlineStr">
        <is>
          <t>Aucun tableau.</t>
        </is>
      </c>
      <c r="M30" s="16" t="n"/>
      <c r="N30" s="17" t="inlineStr">
        <is>
          <t>Critère 5.2</t>
        </is>
      </c>
    </row>
    <row r="31">
      <c r="A31" s="12" t="inlineStr">
        <is>
          <t>Tableaux</t>
        </is>
      </c>
      <c r="B31" s="13" t="inlineStr">
        <is>
          <t>5.3</t>
        </is>
      </c>
      <c r="C31" s="12" t="inlineStr">
        <is>
          <t>Pour chaque tableau de mise en forme, le contenu linéarisé reste-t-il compréhensible ?</t>
        </is>
      </c>
      <c r="D31" s="14" t="inlineStr">
        <is>
          <t>NA</t>
        </is>
      </c>
      <c r="E31" s="14" t="inlineStr">
        <is>
          <t>NA</t>
        </is>
      </c>
      <c r="F31" s="14" t="inlineStr">
        <is>
          <t>NA</t>
        </is>
      </c>
      <c r="G31" s="14" t="inlineStr">
        <is>
          <t>NA</t>
        </is>
      </c>
      <c r="H31" s="14" t="inlineStr">
        <is>
          <t>NA</t>
        </is>
      </c>
      <c r="I31" s="14" t="inlineStr">
        <is>
          <t>NA</t>
        </is>
      </c>
      <c r="J31" s="14" t="inlineStr">
        <is>
          <t>NA</t>
        </is>
      </c>
      <c r="K31" s="15">
        <f>IF(COUNTIF(D31:J31,"NC")&gt;0,"NC",IF(COUNTIF(D31:J31,"AT")&gt;0,"AT",IF(COUNTIF(D31:J31,"C")&gt;0,"C","NA")))</f>
        <v/>
      </c>
      <c r="L31" s="12" t="inlineStr">
        <is>
          <t>Aucun tableau.</t>
        </is>
      </c>
      <c r="M31" s="16" t="n"/>
      <c r="N31" s="17" t="inlineStr">
        <is>
          <t>Critère 5.3</t>
        </is>
      </c>
    </row>
    <row r="32">
      <c r="A32" s="12" t="inlineStr">
        <is>
          <t>Tableaux</t>
        </is>
      </c>
      <c r="B32" s="13" t="inlineStr">
        <is>
          <t>5.4</t>
        </is>
      </c>
      <c r="C32" s="12" t="inlineStr">
        <is>
          <t>Pour chaque tableau de données ayant un titre, le titre est-il correctement associé au tableau de données ?</t>
        </is>
      </c>
      <c r="D32" s="14" t="inlineStr">
        <is>
          <t>NA</t>
        </is>
      </c>
      <c r="E32" s="14" t="inlineStr">
        <is>
          <t>NA</t>
        </is>
      </c>
      <c r="F32" s="14" t="inlineStr">
        <is>
          <t>NA</t>
        </is>
      </c>
      <c r="G32" s="14" t="inlineStr">
        <is>
          <t>NA</t>
        </is>
      </c>
      <c r="H32" s="14" t="inlineStr">
        <is>
          <t>NA</t>
        </is>
      </c>
      <c r="I32" s="14" t="inlineStr">
        <is>
          <t>NA</t>
        </is>
      </c>
      <c r="J32" s="14" t="inlineStr">
        <is>
          <t>NA</t>
        </is>
      </c>
      <c r="K32" s="15">
        <f>IF(COUNTIF(D32:J32,"NC")&gt;0,"NC",IF(COUNTIF(D32:J32,"AT")&gt;0,"AT",IF(COUNTIF(D32:J32,"C")&gt;0,"C","NA")))</f>
        <v/>
      </c>
      <c r="L32" s="12" t="inlineStr">
        <is>
          <t>Aucun tableau.</t>
        </is>
      </c>
      <c r="M32" s="16" t="n"/>
      <c r="N32" s="17" t="inlineStr">
        <is>
          <t>Critère 5.4</t>
        </is>
      </c>
    </row>
    <row r="33">
      <c r="A33" s="12" t="inlineStr">
        <is>
          <t>Tableaux</t>
        </is>
      </c>
      <c r="B33" s="13" t="inlineStr">
        <is>
          <t>5.5</t>
        </is>
      </c>
      <c r="C33" s="12" t="inlineStr">
        <is>
          <t>Pour chaque tableau de données ayant un titre, celui-ci est-il pertinent ?</t>
        </is>
      </c>
      <c r="D33" s="14" t="inlineStr">
        <is>
          <t>NA</t>
        </is>
      </c>
      <c r="E33" s="14" t="inlineStr">
        <is>
          <t>NA</t>
        </is>
      </c>
      <c r="F33" s="14" t="inlineStr">
        <is>
          <t>NA</t>
        </is>
      </c>
      <c r="G33" s="14" t="inlineStr">
        <is>
          <t>NA</t>
        </is>
      </c>
      <c r="H33" s="14" t="inlineStr">
        <is>
          <t>NA</t>
        </is>
      </c>
      <c r="I33" s="14" t="inlineStr">
        <is>
          <t>NA</t>
        </is>
      </c>
      <c r="J33" s="14" t="inlineStr">
        <is>
          <t>NA</t>
        </is>
      </c>
      <c r="K33" s="15">
        <f>IF(COUNTIF(D33:J33,"NC")&gt;0,"NC",IF(COUNTIF(D33:J33,"AT")&gt;0,"AT",IF(COUNTIF(D33:J33,"C")&gt;0,"C","NA")))</f>
        <v/>
      </c>
      <c r="L33" s="12" t="inlineStr">
        <is>
          <t>Aucun tableau.</t>
        </is>
      </c>
      <c r="M33" s="16" t="n"/>
      <c r="N33" s="17" t="inlineStr">
        <is>
          <t>Critère 5.5</t>
        </is>
      </c>
    </row>
    <row r="34">
      <c r="A34" s="12" t="inlineStr">
        <is>
          <t>Tableaux</t>
        </is>
      </c>
      <c r="B34" s="13" t="inlineStr">
        <is>
          <t>5.6</t>
        </is>
      </c>
      <c r="C34" s="12" t="inlineStr">
        <is>
          <t>Pour chaque tableau de données, chaque en-tête de colonne et chaque en-tête de ligne sont-ils correctement déclarés ?</t>
        </is>
      </c>
      <c r="D34" s="14" t="inlineStr">
        <is>
          <t>NA</t>
        </is>
      </c>
      <c r="E34" s="14" t="inlineStr">
        <is>
          <t>NA</t>
        </is>
      </c>
      <c r="F34" s="14" t="inlineStr">
        <is>
          <t>NA</t>
        </is>
      </c>
      <c r="G34" s="14" t="inlineStr">
        <is>
          <t>NA</t>
        </is>
      </c>
      <c r="H34" s="14" t="inlineStr">
        <is>
          <t>NA</t>
        </is>
      </c>
      <c r="I34" s="14" t="inlineStr">
        <is>
          <t>NA</t>
        </is>
      </c>
      <c r="J34" s="14" t="inlineStr">
        <is>
          <t>NA</t>
        </is>
      </c>
      <c r="K34" s="15">
        <f>IF(COUNTIF(D34:J34,"NC")&gt;0,"NC",IF(COUNTIF(D34:J34,"AT")&gt;0,"AT",IF(COUNTIF(D34:J34,"C")&gt;0,"C","NA")))</f>
        <v/>
      </c>
      <c r="L34" s="12" t="inlineStr">
        <is>
          <t>Aucun tableau.</t>
        </is>
      </c>
      <c r="M34" s="16" t="n"/>
      <c r="N34" s="17" t="inlineStr">
        <is>
          <t>Critère 5.6</t>
        </is>
      </c>
    </row>
    <row r="35">
      <c r="A35" s="12" t="inlineStr">
        <is>
          <t>Tableaux</t>
        </is>
      </c>
      <c r="B35" s="13" t="inlineStr">
        <is>
          <t>5.7</t>
        </is>
      </c>
      <c r="C35" s="12" t="inlineStr">
        <is>
          <t>Pour chaque tableau de données, la technique appropriée permettant d'associer chaque cellule avec ses en-têtes est-elle utilisée (hors cas particuliers) ?</t>
        </is>
      </c>
      <c r="D35" s="14" t="inlineStr">
        <is>
          <t>NA</t>
        </is>
      </c>
      <c r="E35" s="14" t="inlineStr">
        <is>
          <t>NA</t>
        </is>
      </c>
      <c r="F35" s="14" t="inlineStr">
        <is>
          <t>NA</t>
        </is>
      </c>
      <c r="G35" s="14" t="inlineStr">
        <is>
          <t>NA</t>
        </is>
      </c>
      <c r="H35" s="14" t="inlineStr">
        <is>
          <t>NA</t>
        </is>
      </c>
      <c r="I35" s="14" t="inlineStr">
        <is>
          <t>NA</t>
        </is>
      </c>
      <c r="J35" s="14" t="inlineStr">
        <is>
          <t>NA</t>
        </is>
      </c>
      <c r="K35" s="15">
        <f>IF(COUNTIF(D35:J35,"NC")&gt;0,"NC",IF(COUNTIF(D35:J35,"AT")&gt;0,"AT",IF(COUNTIF(D35:J35,"C")&gt;0,"C","NA")))</f>
        <v/>
      </c>
      <c r="L35" s="12" t="inlineStr">
        <is>
          <t>Aucun tableau.</t>
        </is>
      </c>
      <c r="M35" s="16" t="n"/>
      <c r="N35" s="17" t="inlineStr">
        <is>
          <t>Critère 5.7</t>
        </is>
      </c>
    </row>
    <row r="36">
      <c r="A36" s="12" t="inlineStr">
        <is>
          <t>Tableaux</t>
        </is>
      </c>
      <c r="B36" s="13" t="inlineStr">
        <is>
          <t>5.8</t>
        </is>
      </c>
      <c r="C36" s="12" t="inlineStr">
        <is>
          <t>Chaque tableau de mise en forme ne doit pas utiliser d'éléments propres aux tableaux de données. Cette règle est-elle respectée ?</t>
        </is>
      </c>
      <c r="D36" s="14" t="inlineStr">
        <is>
          <t>NA</t>
        </is>
      </c>
      <c r="E36" s="14" t="inlineStr">
        <is>
          <t>NA</t>
        </is>
      </c>
      <c r="F36" s="14" t="inlineStr">
        <is>
          <t>NA</t>
        </is>
      </c>
      <c r="G36" s="14" t="inlineStr">
        <is>
          <t>NA</t>
        </is>
      </c>
      <c r="H36" s="14" t="inlineStr">
        <is>
          <t>NA</t>
        </is>
      </c>
      <c r="I36" s="14" t="inlineStr">
        <is>
          <t>NA</t>
        </is>
      </c>
      <c r="J36" s="14" t="inlineStr">
        <is>
          <t>NA</t>
        </is>
      </c>
      <c r="K36" s="15">
        <f>IF(COUNTIF(D36:J36,"NC")&gt;0,"NC",IF(COUNTIF(D36:J36,"AT")&gt;0,"AT",IF(COUNTIF(D36:J36,"C")&gt;0,"C","NA")))</f>
        <v/>
      </c>
      <c r="L36" s="12" t="inlineStr">
        <is>
          <t>Aucun tableau.</t>
        </is>
      </c>
      <c r="M36" s="16" t="n"/>
      <c r="N36" s="17" t="inlineStr">
        <is>
          <t>Critère 5.8</t>
        </is>
      </c>
    </row>
    <row r="37">
      <c r="A37" s="12" t="inlineStr">
        <is>
          <t>Liens</t>
        </is>
      </c>
      <c r="B37" s="13" t="inlineStr">
        <is>
          <t>6.1</t>
        </is>
      </c>
      <c r="C37" s="12" t="inlineStr">
        <is>
          <t>Chaque lien est-il explicite (hors cas particuliers) ?</t>
        </is>
      </c>
      <c r="D37" s="14" t="inlineStr">
        <is>
          <t>C</t>
        </is>
      </c>
      <c r="E37" s="14" t="inlineStr">
        <is>
          <t>C</t>
        </is>
      </c>
      <c r="F37" s="14" t="inlineStr">
        <is>
          <t>C</t>
        </is>
      </c>
      <c r="G37" s="14" t="inlineStr">
        <is>
          <t>C</t>
        </is>
      </c>
      <c r="H37" s="14" t="inlineStr">
        <is>
          <t>C</t>
        </is>
      </c>
      <c r="I37" s="14" t="inlineStr">
        <is>
          <t>C</t>
        </is>
      </c>
      <c r="J37" s="14" t="inlineStr">
        <is>
          <t>C</t>
        </is>
      </c>
      <c r="K37" s="15">
        <f>IF(COUNTIF(D37:J37,"NC")&gt;0,"NC",IF(COUNTIF(D37:J37,"AT")&gt;0,"AT",IF(COUNTIF(D37:J37,"C")&gt;0,"C","NA")))</f>
        <v/>
      </c>
      <c r="L37" s="12" t="inlineStr">
        <is>
          <t>Corrigé le 21/09/2026 : chaque nom accessible commence par l'intitulé visible (« Prendre RDV (rendez-vous, nouvel onglet) », « Plaquette PDF · 6 pages (nouvel onglet) », « Télécharger le PDF (plaquette, 6 pages, nouvel onglet) »). Contrôle automatisé sur toutes les pages : 0 écart. Liens contextuels (« Voir le projet ») explicites par leur contexte.</t>
        </is>
      </c>
      <c r="M37" s="16" t="n"/>
      <c r="N37" s="17" t="inlineStr">
        <is>
          <t>Critère 6.1</t>
        </is>
      </c>
    </row>
    <row r="38">
      <c r="A38" s="12" t="inlineStr">
        <is>
          <t>Liens</t>
        </is>
      </c>
      <c r="B38" s="13" t="inlineStr">
        <is>
          <t>6.2</t>
        </is>
      </c>
      <c r="C38" s="12" t="inlineStr">
        <is>
          <t>Dans chaque page web, chaque lien a-t-il un intitulé ?</t>
        </is>
      </c>
      <c r="D38" s="14" t="inlineStr">
        <is>
          <t>C</t>
        </is>
      </c>
      <c r="E38" s="14" t="inlineStr">
        <is>
          <t>C</t>
        </is>
      </c>
      <c r="F38" s="14" t="inlineStr">
        <is>
          <t>C</t>
        </is>
      </c>
      <c r="G38" s="14" t="inlineStr">
        <is>
          <t>C</t>
        </is>
      </c>
      <c r="H38" s="14" t="inlineStr">
        <is>
          <t>C</t>
        </is>
      </c>
      <c r="I38" s="14" t="inlineStr">
        <is>
          <t>C</t>
        </is>
      </c>
      <c r="J38" s="14" t="inlineStr">
        <is>
          <t>C</t>
        </is>
      </c>
      <c r="K38" s="15">
        <f>IF(COUNTIF(D38:J38,"NC")&gt;0,"NC",IF(COUNTIF(D38:J38,"AT")&gt;0,"AT",IF(COUNTIF(D38:J38,"C")&gt;0,"C","NA")))</f>
        <v/>
      </c>
      <c r="L38" s="12" t="inlineStr">
        <is>
          <t>Aucun lien vide : les liens-icônes (réseaux, email, rendez-vous) ont un aria-label.</t>
        </is>
      </c>
      <c r="M38" s="16" t="n"/>
      <c r="N38" s="17" t="inlineStr">
        <is>
          <t>Critère 6.2</t>
        </is>
      </c>
    </row>
    <row r="39">
      <c r="A39" s="12" t="inlineStr">
        <is>
          <t>Scripts</t>
        </is>
      </c>
      <c r="B39" s="13" t="inlineStr">
        <is>
          <t>7.1</t>
        </is>
      </c>
      <c r="C39" s="12" t="inlineStr">
        <is>
          <t>Chaque script est-il, si nécessaire, compatible avec les technologies d'assistance ?</t>
        </is>
      </c>
      <c r="D39" s="14" t="inlineStr">
        <is>
          <t>AT</t>
        </is>
      </c>
      <c r="E39" s="14" t="inlineStr">
        <is>
          <t>AT</t>
        </is>
      </c>
      <c r="F39" s="14" t="inlineStr">
        <is>
          <t>AT</t>
        </is>
      </c>
      <c r="G39" s="14" t="inlineStr">
        <is>
          <t>AT</t>
        </is>
      </c>
      <c r="H39" s="14" t="inlineStr">
        <is>
          <t>AT</t>
        </is>
      </c>
      <c r="I39" s="14" t="inlineStr">
        <is>
          <t>AT</t>
        </is>
      </c>
      <c r="J39" s="14" t="inlineStr">
        <is>
          <t>NA</t>
        </is>
      </c>
      <c r="K39" s="15">
        <f>IF(COUNTIF(D39:J39,"NC")&gt;0,"NC",IF(COUNTIF(D39:J39,"AT")&gt;0,"AT",IF(COUNTIF(D39:J39,"C")&gt;0,"C","NA")))</f>
        <v/>
      </c>
      <c r="L39" s="12" t="inlineStr">
        <is>
          <t>Scripts : bouton de thème (aria-pressed + libellé mis à jour), bouton menu (aria-expanded), menu mobile (role=dialog, aria-modal, inert fermé), FAQ en details/summary natif, formulaire. Code conforme ; restitution à confirmer au lecteur d'écran.</t>
        </is>
      </c>
      <c r="M39" s="16" t="n"/>
      <c r="N39" s="17" t="inlineStr">
        <is>
          <t>Critère 7.1</t>
        </is>
      </c>
    </row>
    <row r="40">
      <c r="A40" s="12" t="inlineStr">
        <is>
          <t>Scripts</t>
        </is>
      </c>
      <c r="B40" s="13" t="inlineStr">
        <is>
          <t>7.2</t>
        </is>
      </c>
      <c r="C40" s="12" t="inlineStr">
        <is>
          <t>Pour chaque script ayant une alternative, cette alternative est-elle pertinente ?</t>
        </is>
      </c>
      <c r="D40" s="14" t="inlineStr">
        <is>
          <t>NA</t>
        </is>
      </c>
      <c r="E40" s="14" t="inlineStr">
        <is>
          <t>NA</t>
        </is>
      </c>
      <c r="F40" s="14" t="inlineStr">
        <is>
          <t>NA</t>
        </is>
      </c>
      <c r="G40" s="14" t="inlineStr">
        <is>
          <t>NA</t>
        </is>
      </c>
      <c r="H40" s="14" t="inlineStr">
        <is>
          <t>NA</t>
        </is>
      </c>
      <c r="I40" s="14" t="inlineStr">
        <is>
          <t>NA</t>
        </is>
      </c>
      <c r="J40" s="14" t="inlineStr">
        <is>
          <t>NA</t>
        </is>
      </c>
      <c r="K40" s="15">
        <f>IF(COUNTIF(D40:J40,"NC")&gt;0,"NC",IF(COUNTIF(D40:J40,"AT")&gt;0,"AT",IF(COUNTIF(D40:J40,"C")&gt;0,"C","NA")))</f>
        <v/>
      </c>
      <c r="L40" s="12" t="inlineStr">
        <is>
          <t>Aucun script n'a d'alternative (tous restituables directement).</t>
        </is>
      </c>
      <c r="M40" s="16" t="n"/>
      <c r="N40" s="17" t="inlineStr">
        <is>
          <t>Critère 7.2</t>
        </is>
      </c>
    </row>
    <row r="41">
      <c r="A41" s="12" t="inlineStr">
        <is>
          <t>Scripts</t>
        </is>
      </c>
      <c r="B41" s="13" t="inlineStr">
        <is>
          <t>7.3</t>
        </is>
      </c>
      <c r="C41" s="12" t="inlineStr">
        <is>
          <t>Chaque script est-il contrôlable par le clavier et par tout dispositif de pointage (hors cas particuliers) ?</t>
        </is>
      </c>
      <c r="D41" s="14" t="inlineStr">
        <is>
          <t>C</t>
        </is>
      </c>
      <c r="E41" s="14" t="inlineStr">
        <is>
          <t>C</t>
        </is>
      </c>
      <c r="F41" s="14" t="inlineStr">
        <is>
          <t>C</t>
        </is>
      </c>
      <c r="G41" s="14" t="inlineStr">
        <is>
          <t>C</t>
        </is>
      </c>
      <c r="H41" s="14" t="inlineStr">
        <is>
          <t>C</t>
        </is>
      </c>
      <c r="I41" s="14" t="inlineStr">
        <is>
          <t>C</t>
        </is>
      </c>
      <c r="J41" s="14" t="inlineStr">
        <is>
          <t>NA</t>
        </is>
      </c>
      <c r="K41" s="15">
        <f>IF(COUNTIF(D41:J41,"NC")&gt;0,"NC",IF(COUNTIF(D41:J41,"AT")&gt;0,"AT",IF(COUNTIF(D41:J41,"C")&gt;0,"C","NA")))</f>
        <v/>
      </c>
      <c r="L41" s="12" t="inlineStr">
        <is>
          <t>Parcours au clavier automatisé : tous les contrôles sont atteignables et activables ; le menu mobile se ferme à Échap et rend le focus au bouton.</t>
        </is>
      </c>
      <c r="M41" s="16" t="n"/>
      <c r="N41" s="17" t="inlineStr">
        <is>
          <t>Critère 7.3</t>
        </is>
      </c>
    </row>
    <row r="42">
      <c r="A42" s="12" t="inlineStr">
        <is>
          <t>Scripts</t>
        </is>
      </c>
      <c r="B42" s="13" t="inlineStr">
        <is>
          <t>7.4</t>
        </is>
      </c>
      <c r="C42" s="12" t="inlineStr">
        <is>
          <t>Pour chaque script qui initie un changement de contexte, l'utilisateur est-il averti ou en a-t-il le contrôle ?</t>
        </is>
      </c>
      <c r="D42" s="14" t="inlineStr">
        <is>
          <t>C</t>
        </is>
      </c>
      <c r="E42" s="14" t="inlineStr">
        <is>
          <t>C</t>
        </is>
      </c>
      <c r="F42" s="14" t="inlineStr">
        <is>
          <t>C</t>
        </is>
      </c>
      <c r="G42" s="14" t="inlineStr">
        <is>
          <t>C</t>
        </is>
      </c>
      <c r="H42" s="14" t="inlineStr">
        <is>
          <t>C</t>
        </is>
      </c>
      <c r="I42" s="14" t="inlineStr">
        <is>
          <t>C</t>
        </is>
      </c>
      <c r="J42" s="14" t="inlineStr">
        <is>
          <t>NA</t>
        </is>
      </c>
      <c r="K42" s="15">
        <f>IF(COUNTIF(D42:J42,"NC")&gt;0,"NC",IF(COUNTIF(D42:J42,"AT")&gt;0,"AT",IF(COUNTIF(D42:J42,"C")&gt;0,"C","NA")))</f>
        <v/>
      </c>
      <c r="L42" s="12" t="inlineStr">
        <is>
          <t>Aucun changement de contexte automatique ; l'envoi du formulaire (ouverture de la messagerie) est déclenché par l'utilisateur.</t>
        </is>
      </c>
      <c r="M42" s="16" t="n"/>
      <c r="N42" s="17" t="inlineStr">
        <is>
          <t>Critère 7.4</t>
        </is>
      </c>
    </row>
    <row r="43">
      <c r="A43" s="12" t="inlineStr">
        <is>
          <t>Scripts</t>
        </is>
      </c>
      <c r="B43" s="13" t="inlineStr">
        <is>
          <t>7.5</t>
        </is>
      </c>
      <c r="C43" s="12" t="inlineStr">
        <is>
          <t>Dans chaque page web, les messages de statut sont-ils correctement restitués par les technologies d'assistance ?</t>
        </is>
      </c>
      <c r="D43" s="14" t="inlineStr">
        <is>
          <t>NA</t>
        </is>
      </c>
      <c r="E43" s="14" t="inlineStr">
        <is>
          <t>NA</t>
        </is>
      </c>
      <c r="F43" s="14" t="inlineStr">
        <is>
          <t>NA</t>
        </is>
      </c>
      <c r="G43" s="14" t="inlineStr">
        <is>
          <t>C</t>
        </is>
      </c>
      <c r="H43" s="14" t="inlineStr">
        <is>
          <t>NA</t>
        </is>
      </c>
      <c r="I43" s="14" t="inlineStr">
        <is>
          <t>NA</t>
        </is>
      </c>
      <c r="J43" s="14" t="inlineStr">
        <is>
          <t>NA</t>
        </is>
      </c>
      <c r="K43" s="15">
        <f>IF(COUNTIF(D43:J43,"NC")&gt;0,"NC",IF(COUNTIF(D43:J43,"AT")&gt;0,"AT",IF(COUNTIF(D43:J43,"C")&gt;0,"C","NA")))</f>
        <v/>
      </c>
      <c r="L43" s="12" t="inlineStr">
        <is>
          <t>Contact : la carte « Message préparé » est un role="status" aria-live="polite".</t>
        </is>
      </c>
      <c r="M43" s="16" t="n"/>
      <c r="N43" s="17" t="inlineStr">
        <is>
          <t>Critère 7.5</t>
        </is>
      </c>
    </row>
    <row r="44">
      <c r="A44" s="12" t="inlineStr">
        <is>
          <t>Éléments obligatoires</t>
        </is>
      </c>
      <c r="B44" s="13" t="inlineStr">
        <is>
          <t>8.1</t>
        </is>
      </c>
      <c r="C44" s="12" t="inlineStr">
        <is>
          <t>Chaque page web est-elle définie par un type de document ?</t>
        </is>
      </c>
      <c r="D44" s="14" t="inlineStr">
        <is>
          <t>C</t>
        </is>
      </c>
      <c r="E44" s="14" t="inlineStr">
        <is>
          <t>C</t>
        </is>
      </c>
      <c r="F44" s="14" t="inlineStr">
        <is>
          <t>C</t>
        </is>
      </c>
      <c r="G44" s="14" t="inlineStr">
        <is>
          <t>C</t>
        </is>
      </c>
      <c r="H44" s="14" t="inlineStr">
        <is>
          <t>C</t>
        </is>
      </c>
      <c r="I44" s="14" t="inlineStr">
        <is>
          <t>C</t>
        </is>
      </c>
      <c r="J44" s="14" t="inlineStr">
        <is>
          <t>C</t>
        </is>
      </c>
      <c r="K44" s="15">
        <f>IF(COUNTIF(D44:J44,"NC")&gt;0,"NC",IF(COUNTIF(D44:J44,"AT")&gt;0,"AT",IF(COUNTIF(D44:J44,"C")&gt;0,"C","NA")))</f>
        <v/>
      </c>
      <c r="L44" s="12" t="inlineStr">
        <is>
          <t>&lt;!DOCTYPE html&gt; présent.</t>
        </is>
      </c>
      <c r="M44" s="16" t="n"/>
      <c r="N44" s="17" t="inlineStr">
        <is>
          <t>Critère 8.1</t>
        </is>
      </c>
    </row>
    <row r="45">
      <c r="A45" s="12" t="inlineStr">
        <is>
          <t>Éléments obligatoires</t>
        </is>
      </c>
      <c r="B45" s="13" t="inlineStr">
        <is>
          <t>8.2</t>
        </is>
      </c>
      <c r="C45" s="12" t="inlineStr">
        <is>
          <t>Pour chaque page web, le code source généré est-il valide selon le type de document spécifié ?</t>
        </is>
      </c>
      <c r="D45" s="14" t="inlineStr">
        <is>
          <t>AT</t>
        </is>
      </c>
      <c r="E45" s="14" t="inlineStr">
        <is>
          <t>AT</t>
        </is>
      </c>
      <c r="F45" s="14" t="inlineStr">
        <is>
          <t>AT</t>
        </is>
      </c>
      <c r="G45" s="14" t="inlineStr">
        <is>
          <t>AT</t>
        </is>
      </c>
      <c r="H45" s="14" t="inlineStr">
        <is>
          <t>AT</t>
        </is>
      </c>
      <c r="I45" s="14" t="inlineStr">
        <is>
          <t>AT</t>
        </is>
      </c>
      <c r="J45" s="14" t="inlineStr">
        <is>
          <t>AT</t>
        </is>
      </c>
      <c r="K45" s="15">
        <f>IF(COUNTIF(D45:J45,"NC")&gt;0,"NC",IF(COUNTIF(D45:J45,"AT")&gt;0,"AT",IF(COUNTIF(D45:J45,"C")&gt;0,"C","NA")))</f>
        <v/>
      </c>
      <c r="L45" s="12" t="inlineStr">
        <is>
          <t>Identifiant dupliqué de Projets corrigé le 21/09/2026 (carte renommée « projet-jouons-ensemble ») ; plus aucun id en double sur l'échantillon. Reste à passer le validateur W3C sur chaque page.</t>
        </is>
      </c>
      <c r="M45" s="16" t="n"/>
      <c r="N45" s="17" t="inlineStr">
        <is>
          <t>Critère 8.2</t>
        </is>
      </c>
    </row>
    <row r="46">
      <c r="A46" s="12" t="inlineStr">
        <is>
          <t>Éléments obligatoires</t>
        </is>
      </c>
      <c r="B46" s="13" t="inlineStr">
        <is>
          <t>8.3</t>
        </is>
      </c>
      <c r="C46" s="12" t="inlineStr">
        <is>
          <t>Dans chaque page web, la langue par défaut est-elle présente ?</t>
        </is>
      </c>
      <c r="D46" s="14" t="inlineStr">
        <is>
          <t>C</t>
        </is>
      </c>
      <c r="E46" s="14" t="inlineStr">
        <is>
          <t>C</t>
        </is>
      </c>
      <c r="F46" s="14" t="inlineStr">
        <is>
          <t>C</t>
        </is>
      </c>
      <c r="G46" s="14" t="inlineStr">
        <is>
          <t>C</t>
        </is>
      </c>
      <c r="H46" s="14" t="inlineStr">
        <is>
          <t>C</t>
        </is>
      </c>
      <c r="I46" s="14" t="inlineStr">
        <is>
          <t>C</t>
        </is>
      </c>
      <c r="J46" s="14" t="inlineStr">
        <is>
          <t>C</t>
        </is>
      </c>
      <c r="K46" s="15">
        <f>IF(COUNTIF(D46:J46,"NC")&gt;0,"NC",IF(COUNTIF(D46:J46,"AT")&gt;0,"AT",IF(COUNTIF(D46:J46,"C")&gt;0,"C","NA")))</f>
        <v/>
      </c>
      <c r="L46" s="12" t="inlineStr">
        <is>
          <t>lang="fr-FR" sur &lt;html&gt;.</t>
        </is>
      </c>
      <c r="M46" s="16" t="n"/>
      <c r="N46" s="17" t="inlineStr">
        <is>
          <t>Critère 8.3</t>
        </is>
      </c>
    </row>
    <row r="47">
      <c r="A47" s="12" t="inlineStr">
        <is>
          <t>Éléments obligatoires</t>
        </is>
      </c>
      <c r="B47" s="13" t="inlineStr">
        <is>
          <t>8.4</t>
        </is>
      </c>
      <c r="C47" s="12" t="inlineStr">
        <is>
          <t>Pour chaque page web ayant une langue par défaut, le code de langue est-il pertinent ?</t>
        </is>
      </c>
      <c r="D47" s="14" t="inlineStr">
        <is>
          <t>C</t>
        </is>
      </c>
      <c r="E47" s="14" t="inlineStr">
        <is>
          <t>C</t>
        </is>
      </c>
      <c r="F47" s="14" t="inlineStr">
        <is>
          <t>C</t>
        </is>
      </c>
      <c r="G47" s="14" t="inlineStr">
        <is>
          <t>C</t>
        </is>
      </c>
      <c r="H47" s="14" t="inlineStr">
        <is>
          <t>C</t>
        </is>
      </c>
      <c r="I47" s="14" t="inlineStr">
        <is>
          <t>C</t>
        </is>
      </c>
      <c r="J47" s="14" t="inlineStr">
        <is>
          <t>C</t>
        </is>
      </c>
      <c r="K47" s="15">
        <f>IF(COUNTIF(D47:J47,"NC")&gt;0,"NC",IF(COUNTIF(D47:J47,"AT")&gt;0,"AT",IF(COUNTIF(D47:J47,"C")&gt;0,"C","NA")))</f>
        <v/>
      </c>
      <c r="L47" s="12" t="inlineStr">
        <is>
          <t>Code de langue fr-FR pertinent.</t>
        </is>
      </c>
      <c r="M47" s="16" t="n"/>
      <c r="N47" s="17" t="inlineStr">
        <is>
          <t>Critère 8.4</t>
        </is>
      </c>
    </row>
    <row r="48">
      <c r="A48" s="12" t="inlineStr">
        <is>
          <t>Éléments obligatoires</t>
        </is>
      </c>
      <c r="B48" s="13" t="inlineStr">
        <is>
          <t>8.5</t>
        </is>
      </c>
      <c r="C48" s="12" t="inlineStr">
        <is>
          <t>Chaque page web a-t-elle un titre de page ?</t>
        </is>
      </c>
      <c r="D48" s="14" t="inlineStr">
        <is>
          <t>C</t>
        </is>
      </c>
      <c r="E48" s="14" t="inlineStr">
        <is>
          <t>C</t>
        </is>
      </c>
      <c r="F48" s="14" t="inlineStr">
        <is>
          <t>C</t>
        </is>
      </c>
      <c r="G48" s="14" t="inlineStr">
        <is>
          <t>C</t>
        </is>
      </c>
      <c r="H48" s="14" t="inlineStr">
        <is>
          <t>C</t>
        </is>
      </c>
      <c r="I48" s="14" t="inlineStr">
        <is>
          <t>C</t>
        </is>
      </c>
      <c r="J48" s="14" t="inlineStr">
        <is>
          <t>C</t>
        </is>
      </c>
      <c r="K48" s="15">
        <f>IF(COUNTIF(D48:J48,"NC")&gt;0,"NC",IF(COUNTIF(D48:J48,"AT")&gt;0,"AT",IF(COUNTIF(D48:J48,"C")&gt;0,"C","NA")))</f>
        <v/>
      </c>
      <c r="L48" s="12" t="inlineStr">
        <is>
          <t>Chaque page a un &lt;title&gt;.</t>
        </is>
      </c>
      <c r="M48" s="16" t="n"/>
      <c r="N48" s="17" t="inlineStr">
        <is>
          <t>Critère 8.5</t>
        </is>
      </c>
    </row>
    <row r="49">
      <c r="A49" s="12" t="inlineStr">
        <is>
          <t>Éléments obligatoires</t>
        </is>
      </c>
      <c r="B49" s="13" t="inlineStr">
        <is>
          <t>8.6</t>
        </is>
      </c>
      <c r="C49" s="12" t="inlineStr">
        <is>
          <t>Pour chaque page web ayant un titre de page, ce titre est-il pertinent ?</t>
        </is>
      </c>
      <c r="D49" s="14" t="inlineStr">
        <is>
          <t>C</t>
        </is>
      </c>
      <c r="E49" s="14" t="inlineStr">
        <is>
          <t>C</t>
        </is>
      </c>
      <c r="F49" s="14" t="inlineStr">
        <is>
          <t>C</t>
        </is>
      </c>
      <c r="G49" s="14" t="inlineStr">
        <is>
          <t>C</t>
        </is>
      </c>
      <c r="H49" s="14" t="inlineStr">
        <is>
          <t>C</t>
        </is>
      </c>
      <c r="I49" s="14" t="inlineStr">
        <is>
          <t>C</t>
        </is>
      </c>
      <c r="J49" s="14" t="inlineStr">
        <is>
          <t>C</t>
        </is>
      </c>
      <c r="K49" s="15">
        <f>IF(COUNTIF(D49:J49,"NC")&gt;0,"NC",IF(COUNTIF(D49:J49,"AT")&gt;0,"AT",IF(COUNTIF(D49:J49,"C")&gt;0,"C","NA")))</f>
        <v/>
      </c>
      <c r="L49" s="12" t="inlineStr">
        <is>
          <t>Titres relevés : « Écrans en famille : médiation numérique en Guadeloupe · PXLC », « Andy Zébus, médiateur numérique en Guadeloupe · PXLC », « Projets de médiation numérique… », « Contacter Andy Zébus — devis ou premier échange », « Mentions légales », « Accessibilité », « Plaquette de présentation ».</t>
        </is>
      </c>
      <c r="M49" s="16" t="n"/>
      <c r="N49" s="17" t="inlineStr">
        <is>
          <t>Critère 8.6</t>
        </is>
      </c>
    </row>
    <row r="50">
      <c r="A50" s="12" t="inlineStr">
        <is>
          <t>Éléments obligatoires</t>
        </is>
      </c>
      <c r="B50" s="13" t="inlineStr">
        <is>
          <t>8.7</t>
        </is>
      </c>
      <c r="C50" s="12" t="inlineStr">
        <is>
          <t>Dans chaque page web, chaque changement de langue est-il indiqué dans le code source (hors cas particuliers) ?</t>
        </is>
      </c>
      <c r="D50" s="14" t="inlineStr">
        <is>
          <t>AT</t>
        </is>
      </c>
      <c r="E50" s="14" t="inlineStr">
        <is>
          <t>AT</t>
        </is>
      </c>
      <c r="F50" s="14" t="inlineStr">
        <is>
          <t>AT</t>
        </is>
      </c>
      <c r="G50" s="14" t="inlineStr">
        <is>
          <t>AT</t>
        </is>
      </c>
      <c r="H50" s="14" t="inlineStr">
        <is>
          <t>AT</t>
        </is>
      </c>
      <c r="I50" s="14" t="inlineStr">
        <is>
          <t>AT</t>
        </is>
      </c>
      <c r="J50" s="14" t="inlineStr">
        <is>
          <t>AT</t>
        </is>
      </c>
      <c r="K50" s="15">
        <f>IF(COUNTIF(D50:J50,"NC")&gt;0,"NC",IF(COUNTIF(D50:J50,"AT")&gt;0,"AT",IF(COUNTIF(D50:J50,"C")&gt;0,"C","NA")))</f>
        <v/>
      </c>
      <c r="L50" s="12" t="inlineStr">
        <is>
          <t>Aucun changement de langue déclaré. Vérifier les mots anglais non passés dans l'usage (« gaming », « Duo gaming ») ; les noms propres (Destreland Gaming Cup) sont exemptés.</t>
        </is>
      </c>
      <c r="M50" s="16" t="n"/>
      <c r="N50" s="17" t="inlineStr">
        <is>
          <t>Critère 8.7</t>
        </is>
      </c>
    </row>
    <row r="51">
      <c r="A51" s="12" t="inlineStr">
        <is>
          <t>Éléments obligatoires</t>
        </is>
      </c>
      <c r="B51" s="13" t="inlineStr">
        <is>
          <t>8.8</t>
        </is>
      </c>
      <c r="C51" s="12" t="inlineStr">
        <is>
          <t>Dans chaque page web, le code de langue de chaque changement de langue est-il valide et pertinent ?</t>
        </is>
      </c>
      <c r="D51" s="14" t="inlineStr">
        <is>
          <t>NA</t>
        </is>
      </c>
      <c r="E51" s="14" t="inlineStr">
        <is>
          <t>NA</t>
        </is>
      </c>
      <c r="F51" s="14" t="inlineStr">
        <is>
          <t>NA</t>
        </is>
      </c>
      <c r="G51" s="14" t="inlineStr">
        <is>
          <t>NA</t>
        </is>
      </c>
      <c r="H51" s="14" t="inlineStr">
        <is>
          <t>NA</t>
        </is>
      </c>
      <c r="I51" s="14" t="inlineStr">
        <is>
          <t>NA</t>
        </is>
      </c>
      <c r="J51" s="14" t="inlineStr">
        <is>
          <t>NA</t>
        </is>
      </c>
      <c r="K51" s="15">
        <f>IF(COUNTIF(D51:J51,"NC")&gt;0,"NC",IF(COUNTIF(D51:J51,"AT")&gt;0,"AT",IF(COUNTIF(D51:J51,"C")&gt;0,"C","NA")))</f>
        <v/>
      </c>
      <c r="L51" s="12" t="inlineStr">
        <is>
          <t>Aucun changement de langue déclaré (à revoir si 8.7 en ajoute).</t>
        </is>
      </c>
      <c r="M51" s="16" t="n"/>
      <c r="N51" s="17" t="inlineStr">
        <is>
          <t>Critère 8.8</t>
        </is>
      </c>
    </row>
    <row r="52">
      <c r="A52" s="12" t="inlineStr">
        <is>
          <t>Éléments obligatoires</t>
        </is>
      </c>
      <c r="B52" s="13" t="inlineStr">
        <is>
          <t>8.9</t>
        </is>
      </c>
      <c r="C52" s="12" t="inlineStr">
        <is>
          <t>Dans chaque page web, les balises ne doivent pas être utilisées uniquement à des fins de présentation. Cette règle est-elle respectée ?</t>
        </is>
      </c>
      <c r="D52" s="14" t="inlineStr">
        <is>
          <t>C</t>
        </is>
      </c>
      <c r="E52" s="14" t="inlineStr">
        <is>
          <t>C</t>
        </is>
      </c>
      <c r="F52" s="14" t="inlineStr">
        <is>
          <t>C</t>
        </is>
      </c>
      <c r="G52" s="14" t="inlineStr">
        <is>
          <t>C</t>
        </is>
      </c>
      <c r="H52" s="14" t="inlineStr">
        <is>
          <t>C</t>
        </is>
      </c>
      <c r="I52" s="14" t="inlineStr">
        <is>
          <t>C</t>
        </is>
      </c>
      <c r="J52" s="14" t="inlineStr">
        <is>
          <t>C</t>
        </is>
      </c>
      <c r="K52" s="15">
        <f>IF(COUNTIF(D52:J52,"NC")&gt;0,"NC",IF(COUNTIF(D52:J52,"AT")&gt;0,"AT",IF(COUNTIF(D52:J52,"C")&gt;0,"C","NA")))</f>
        <v/>
      </c>
      <c r="L52" s="12" t="inlineStr">
        <is>
          <t>Corrigé le 21/09/2026 : les numéros de la légende de la carte (contact) passent de &lt;i&gt; à &lt;span&gt;. Aucune autre balise utilisée pour la seule présentation.</t>
        </is>
      </c>
      <c r="M52" s="16" t="n"/>
      <c r="N52" s="17" t="inlineStr">
        <is>
          <t>Critère 8.9</t>
        </is>
      </c>
    </row>
    <row r="53">
      <c r="A53" s="12" t="inlineStr">
        <is>
          <t>Éléments obligatoires</t>
        </is>
      </c>
      <c r="B53" s="13" t="inlineStr">
        <is>
          <t>8.10</t>
        </is>
      </c>
      <c r="C53" s="12" t="inlineStr">
        <is>
          <t>Dans chaque page web, les changements du sens de lecture sont-ils signalés ?</t>
        </is>
      </c>
      <c r="D53" s="14" t="inlineStr">
        <is>
          <t>NA</t>
        </is>
      </c>
      <c r="E53" s="14" t="inlineStr">
        <is>
          <t>NA</t>
        </is>
      </c>
      <c r="F53" s="14" t="inlineStr">
        <is>
          <t>NA</t>
        </is>
      </c>
      <c r="G53" s="14" t="inlineStr">
        <is>
          <t>NA</t>
        </is>
      </c>
      <c r="H53" s="14" t="inlineStr">
        <is>
          <t>NA</t>
        </is>
      </c>
      <c r="I53" s="14" t="inlineStr">
        <is>
          <t>NA</t>
        </is>
      </c>
      <c r="J53" s="14" t="inlineStr">
        <is>
          <t>NA</t>
        </is>
      </c>
      <c r="K53" s="15">
        <f>IF(COUNTIF(D53:J53,"NC")&gt;0,"NC",IF(COUNTIF(D53:J53,"AT")&gt;0,"AT",IF(COUNTIF(D53:J53,"C")&gt;0,"C","NA")))</f>
        <v/>
      </c>
      <c r="L53" s="12" t="inlineStr">
        <is>
          <t>Aucun changement de sens de lecture.</t>
        </is>
      </c>
      <c r="M53" s="16" t="n"/>
      <c r="N53" s="17" t="inlineStr">
        <is>
          <t>Critère 8.10</t>
        </is>
      </c>
    </row>
    <row r="54">
      <c r="A54" s="12" t="inlineStr">
        <is>
          <t>Structuration de l'information</t>
        </is>
      </c>
      <c r="B54" s="13" t="inlineStr">
        <is>
          <t>9.1</t>
        </is>
      </c>
      <c r="C54" s="12" t="inlineStr">
        <is>
          <t>Dans chaque page web, l'information est-elle structurée par l'utilisation appropriée de titres ?</t>
        </is>
      </c>
      <c r="D54" s="14" t="inlineStr">
        <is>
          <t>AT</t>
        </is>
      </c>
      <c r="E54" s="14" t="inlineStr">
        <is>
          <t>C</t>
        </is>
      </c>
      <c r="F54" s="14" t="inlineStr">
        <is>
          <t>C</t>
        </is>
      </c>
      <c r="G54" s="14" t="inlineStr">
        <is>
          <t>C</t>
        </is>
      </c>
      <c r="H54" s="14" t="inlineStr">
        <is>
          <t>C</t>
        </is>
      </c>
      <c r="I54" s="14" t="inlineStr">
        <is>
          <t>C</t>
        </is>
      </c>
      <c r="J54" s="14" t="inlineStr">
        <is>
          <t>C</t>
        </is>
      </c>
      <c r="K54" s="15">
        <f>IF(COUNTIF(D54:J54,"NC")&gt;0,"NC",IF(COUNTIF(D54:J54,"AT")&gt;0,"AT",IF(COUNTIF(D54:J54,"C")&gt;0,"C","NA")))</f>
        <v/>
      </c>
      <c r="L54" s="12" t="inlineStr">
        <is>
          <t>Hiérarchie h1→h2→h3 cohérente. Accueil : « Quelques repères » et « Partenaires de confiance » ont l'apparence d'intitulés de section sans être des titres hx — à arbitrer.</t>
        </is>
      </c>
      <c r="M54" s="16" t="n"/>
      <c r="N54" s="17" t="inlineStr">
        <is>
          <t>Critère 9.1</t>
        </is>
      </c>
    </row>
    <row r="55">
      <c r="A55" s="12" t="inlineStr">
        <is>
          <t>Structuration de l'information</t>
        </is>
      </c>
      <c r="B55" s="13" t="inlineStr">
        <is>
          <t>9.2</t>
        </is>
      </c>
      <c r="C55" s="12" t="inlineStr">
        <is>
          <t>Dans chaque page web, la structure du document est-elle cohérente (hors cas particuliers) ?</t>
        </is>
      </c>
      <c r="D55" s="14" t="inlineStr">
        <is>
          <t>C</t>
        </is>
      </c>
      <c r="E55" s="14" t="inlineStr">
        <is>
          <t>C</t>
        </is>
      </c>
      <c r="F55" s="14" t="inlineStr">
        <is>
          <t>C</t>
        </is>
      </c>
      <c r="G55" s="14" t="inlineStr">
        <is>
          <t>C</t>
        </is>
      </c>
      <c r="H55" s="14" t="inlineStr">
        <is>
          <t>C</t>
        </is>
      </c>
      <c r="I55" s="14" t="inlineStr">
        <is>
          <t>C</t>
        </is>
      </c>
      <c r="J55" s="14" t="inlineStr">
        <is>
          <t>C</t>
        </is>
      </c>
      <c r="K55" s="15">
        <f>IF(COUNTIF(D55:J55,"NC")&gt;0,"NC",IF(COUNTIF(D55:J55,"AT")&gt;0,"AT",IF(COUNTIF(D55:J55,"C")&gt;0,"C","NA")))</f>
        <v/>
      </c>
      <c r="L55" s="12" t="inlineStr">
        <is>
          <t>header / nav / main / footer présents et cohérents (la plaquette a main + nav propres).</t>
        </is>
      </c>
      <c r="M55" s="16" t="n"/>
      <c r="N55" s="17" t="inlineStr">
        <is>
          <t>Critère 9.2</t>
        </is>
      </c>
    </row>
    <row r="56">
      <c r="A56" s="12" t="inlineStr">
        <is>
          <t>Structuration de l'information</t>
        </is>
      </c>
      <c r="B56" s="13" t="inlineStr">
        <is>
          <t>9.3</t>
        </is>
      </c>
      <c r="C56" s="12" t="inlineStr">
        <is>
          <t>Dans chaque page web, chaque liste est-elle correctement structurée ?</t>
        </is>
      </c>
      <c r="D56" s="14" t="inlineStr">
        <is>
          <t>AT</t>
        </is>
      </c>
      <c r="E56" s="14" t="inlineStr">
        <is>
          <t>C</t>
        </is>
      </c>
      <c r="F56" s="14" t="inlineStr">
        <is>
          <t>C</t>
        </is>
      </c>
      <c r="G56" s="14" t="inlineStr">
        <is>
          <t>C</t>
        </is>
      </c>
      <c r="H56" s="14" t="inlineStr">
        <is>
          <t>C</t>
        </is>
      </c>
      <c r="I56" s="14" t="inlineStr">
        <is>
          <t>C</t>
        </is>
      </c>
      <c r="J56" s="14" t="inlineStr">
        <is>
          <t>C</t>
        </is>
      </c>
      <c r="K56" s="15">
        <f>IF(COUNTIF(D56:J56,"NC")&gt;0,"NC",IF(COUNTIF(D56:J56,"AT")&gt;0,"AT",IF(COUNTIF(D56:J56,"C")&gt;0,"C","NA")))</f>
        <v/>
      </c>
      <c r="L56" s="12" t="inlineStr">
        <is>
          <t>Listes balisées (ul/ol/dl). Accueil : vérifier la grille des 4 repères chiffrés, visuellement une liste mais balisée en div.</t>
        </is>
      </c>
      <c r="M56" s="16" t="n"/>
      <c r="N56" s="17" t="inlineStr">
        <is>
          <t>Critère 9.3</t>
        </is>
      </c>
    </row>
    <row r="57">
      <c r="A57" s="12" t="inlineStr">
        <is>
          <t>Structuration de l'information</t>
        </is>
      </c>
      <c r="B57" s="13" t="inlineStr">
        <is>
          <t>9.4</t>
        </is>
      </c>
      <c r="C57" s="12" t="inlineStr">
        <is>
          <t>Dans chaque page web, chaque citation est-elle correctement indiquée ?</t>
        </is>
      </c>
      <c r="D57" s="14" t="inlineStr">
        <is>
          <t>C</t>
        </is>
      </c>
      <c r="E57" s="14" t="inlineStr">
        <is>
          <t>C</t>
        </is>
      </c>
      <c r="F57" s="14" t="inlineStr">
        <is>
          <t>NA</t>
        </is>
      </c>
      <c r="G57" s="14" t="inlineStr">
        <is>
          <t>NA</t>
        </is>
      </c>
      <c r="H57" s="14" t="inlineStr">
        <is>
          <t>NA</t>
        </is>
      </c>
      <c r="I57" s="14" t="inlineStr">
        <is>
          <t>NA</t>
        </is>
      </c>
      <c r="J57" s="14" t="inlineStr">
        <is>
          <t>NA</t>
        </is>
      </c>
      <c r="K57" s="15">
        <f>IF(COUNTIF(D57:J57,"NC")&gt;0,"NC",IF(COUNTIF(D57:J57,"AT")&gt;0,"AT",IF(COUNTIF(D57:J57,"C")&gt;0,"C","NA")))</f>
        <v/>
      </c>
      <c r="L57" s="12" t="inlineStr">
        <is>
          <t>Citations en &lt;blockquote&gt; (accueil, à propos).</t>
        </is>
      </c>
      <c r="M57" s="16" t="n"/>
      <c r="N57" s="17" t="inlineStr">
        <is>
          <t>Critère 9.4</t>
        </is>
      </c>
    </row>
    <row r="58">
      <c r="A58" s="12" t="inlineStr">
        <is>
          <t>Présentation de l'information</t>
        </is>
      </c>
      <c r="B58" s="13" t="inlineStr">
        <is>
          <t>10.1</t>
        </is>
      </c>
      <c r="C58" s="12" t="inlineStr">
        <is>
          <t>Dans le site web, des feuilles de styles sont-elles utilisées pour contrôler la présentation de l'information ?</t>
        </is>
      </c>
      <c r="D58" s="14" t="inlineStr">
        <is>
          <t>C</t>
        </is>
      </c>
      <c r="E58" s="14" t="inlineStr">
        <is>
          <t>C</t>
        </is>
      </c>
      <c r="F58" s="14" t="inlineStr">
        <is>
          <t>C</t>
        </is>
      </c>
      <c r="G58" s="14" t="inlineStr">
        <is>
          <t>C</t>
        </is>
      </c>
      <c r="H58" s="14" t="inlineStr">
        <is>
          <t>C</t>
        </is>
      </c>
      <c r="I58" s="14" t="inlineStr">
        <is>
          <t>C</t>
        </is>
      </c>
      <c r="J58" s="14" t="inlineStr">
        <is>
          <t>C</t>
        </is>
      </c>
      <c r="K58" s="15">
        <f>IF(COUNTIF(D58:J58,"NC")&gt;0,"NC",IF(COUNTIF(D58:J58,"AT")&gt;0,"AT",IF(COUNTIF(D58:J58,"C")&gt;0,"C","NA")))</f>
        <v/>
      </c>
      <c r="L58" s="12" t="inlineStr">
        <is>
          <t>Présentation entièrement en CSS ; aucune balise ni attribut de présentation proscrit.</t>
        </is>
      </c>
      <c r="M58" s="16" t="n"/>
      <c r="N58" s="17" t="inlineStr">
        <is>
          <t>Critère 10.1</t>
        </is>
      </c>
    </row>
    <row r="59">
      <c r="A59" s="12" t="inlineStr">
        <is>
          <t>Présentation de l'information</t>
        </is>
      </c>
      <c r="B59" s="13" t="inlineStr">
        <is>
          <t>10.2</t>
        </is>
      </c>
      <c r="C59" s="12" t="inlineStr">
        <is>
          <t>Dans chaque page web, le contenu visible porteur d’information reste-t-il présent lorsque les feuilles de styles sont désactivées ?</t>
        </is>
      </c>
      <c r="D59" s="14" t="inlineStr">
        <is>
          <t>AT</t>
        </is>
      </c>
      <c r="E59" s="14" t="inlineStr">
        <is>
          <t>AT</t>
        </is>
      </c>
      <c r="F59" s="14" t="inlineStr">
        <is>
          <t>AT</t>
        </is>
      </c>
      <c r="G59" s="14" t="inlineStr">
        <is>
          <t>AT</t>
        </is>
      </c>
      <c r="H59" s="14" t="inlineStr">
        <is>
          <t>AT</t>
        </is>
      </c>
      <c r="I59" s="14" t="inlineStr">
        <is>
          <t>AT</t>
        </is>
      </c>
      <c r="J59" s="14" t="inlineStr">
        <is>
          <t>AT</t>
        </is>
      </c>
      <c r="K59" s="15">
        <f>IF(COUNTIF(D59:J59,"NC")&gt;0,"NC",IF(COUNTIF(D59:J59,"AT")&gt;0,"AT",IF(COUNTIF(D59:J59,"C")&gt;0,"C","NA")))</f>
        <v/>
      </c>
      <c r="L59" s="12" t="inlineStr">
        <is>
          <t>Désactiver les styles et vérifier que rien de porteur d'information ne disparaît (flèches → et points corail sont décoratifs).</t>
        </is>
      </c>
      <c r="M59" s="16" t="n"/>
      <c r="N59" s="17" t="inlineStr">
        <is>
          <t>Critère 10.2</t>
        </is>
      </c>
    </row>
    <row r="60">
      <c r="A60" s="12" t="inlineStr">
        <is>
          <t>Présentation de l'information</t>
        </is>
      </c>
      <c r="B60" s="13" t="inlineStr">
        <is>
          <t>10.3</t>
        </is>
      </c>
      <c r="C60" s="12" t="inlineStr">
        <is>
          <t>Dans chaque page web, l'information reste-t-elle compréhensible lorsque les feuilles de styles sont désactivées ?</t>
        </is>
      </c>
      <c r="D60" s="14" t="inlineStr">
        <is>
          <t>AT</t>
        </is>
      </c>
      <c r="E60" s="14" t="inlineStr">
        <is>
          <t>AT</t>
        </is>
      </c>
      <c r="F60" s="14" t="inlineStr">
        <is>
          <t>AT</t>
        </is>
      </c>
      <c r="G60" s="14" t="inlineStr">
        <is>
          <t>AT</t>
        </is>
      </c>
      <c r="H60" s="14" t="inlineStr">
        <is>
          <t>AT</t>
        </is>
      </c>
      <c r="I60" s="14" t="inlineStr">
        <is>
          <t>AT</t>
        </is>
      </c>
      <c r="J60" s="14" t="inlineStr">
        <is>
          <t>AT</t>
        </is>
      </c>
      <c r="K60" s="15">
        <f>IF(COUNTIF(D60:J60,"NC")&gt;0,"NC",IF(COUNTIF(D60:J60,"AT")&gt;0,"AT",IF(COUNTIF(D60:J60,"C")&gt;0,"C","NA")))</f>
        <v/>
      </c>
      <c r="L60" s="12" t="inlineStr">
        <is>
          <t>Désactiver les styles et vérifier l'ordre de lecture.</t>
        </is>
      </c>
      <c r="M60" s="16" t="n"/>
      <c r="N60" s="17" t="inlineStr">
        <is>
          <t>Critère 10.3</t>
        </is>
      </c>
    </row>
    <row r="61">
      <c r="A61" s="12" t="inlineStr">
        <is>
          <t>Présentation de l'information</t>
        </is>
      </c>
      <c r="B61" s="13" t="inlineStr">
        <is>
          <t>10.4</t>
        </is>
      </c>
      <c r="C61" s="12" t="inlineStr">
        <is>
          <t>Dans chaque page web, le texte reste-t-il lisible lorsque la taille des caractères est augmentée jusqu'à 200%, au moins (hors cas particuliers) ?</t>
        </is>
      </c>
      <c r="D61" s="14" t="inlineStr">
        <is>
          <t>C</t>
        </is>
      </c>
      <c r="E61" s="14" t="inlineStr">
        <is>
          <t>C</t>
        </is>
      </c>
      <c r="F61" s="14" t="inlineStr">
        <is>
          <t>C</t>
        </is>
      </c>
      <c r="G61" s="14" t="inlineStr">
        <is>
          <t>C</t>
        </is>
      </c>
      <c r="H61" s="14" t="inlineStr">
        <is>
          <t>C</t>
        </is>
      </c>
      <c r="I61" s="14" t="inlineStr">
        <is>
          <t>C</t>
        </is>
      </c>
      <c r="J61" s="14" t="inlineStr">
        <is>
          <t>C</t>
        </is>
      </c>
      <c r="K61" s="15">
        <f>IF(COUNTIF(D61:J61,"NC")&gt;0,"NC",IF(COUNTIF(D61:J61,"AT")&gt;0,"AT",IF(COUNTIF(D61:J61,"C")&gt;0,"C","NA")))</f>
        <v/>
      </c>
      <c r="L61" s="12" t="inlineStr">
        <is>
          <t>Aucun débordement ni texte coupé à 320 px de large (équivalent d'un zoom 400 % sur 1280 px), plaquette comprise depuis le 21/09/2026 (feuilles fluides sous 760 px).</t>
        </is>
      </c>
      <c r="M61" s="16" t="n"/>
      <c r="N61" s="17" t="inlineStr">
        <is>
          <t>Critère 10.4</t>
        </is>
      </c>
    </row>
    <row r="62">
      <c r="A62" s="12" t="inlineStr">
        <is>
          <t>Présentation de l'information</t>
        </is>
      </c>
      <c r="B62" s="13" t="inlineStr">
        <is>
          <t>10.5</t>
        </is>
      </c>
      <c r="C62" s="12" t="inlineStr">
        <is>
          <t>Dans chaque page web, les déclarations CSS de couleurs de fond d'élément et de police sont-elles correctement utilisées ?</t>
        </is>
      </c>
      <c r="D62" s="14" t="inlineStr">
        <is>
          <t>C</t>
        </is>
      </c>
      <c r="E62" s="14" t="inlineStr">
        <is>
          <t>C</t>
        </is>
      </c>
      <c r="F62" s="14" t="inlineStr">
        <is>
          <t>C</t>
        </is>
      </c>
      <c r="G62" s="14" t="inlineStr">
        <is>
          <t>C</t>
        </is>
      </c>
      <c r="H62" s="14" t="inlineStr">
        <is>
          <t>C</t>
        </is>
      </c>
      <c r="I62" s="14" t="inlineStr">
        <is>
          <t>C</t>
        </is>
      </c>
      <c r="J62" s="14" t="inlineStr">
        <is>
          <t>C</t>
        </is>
      </c>
      <c r="K62" s="15">
        <f>IF(COUNTIF(D62:J62,"NC")&gt;0,"NC",IF(COUNTIF(D62:J62,"AT")&gt;0,"AT",IF(COUNTIF(D62:J62,"C")&gt;0,"C","NA")))</f>
        <v/>
      </c>
      <c r="L62" s="12" t="inlineStr">
        <is>
          <t>Couleurs de fond et de texte déclarées ensemble (tokens par thème).</t>
        </is>
      </c>
      <c r="M62" s="16" t="n"/>
      <c r="N62" s="17" t="inlineStr">
        <is>
          <t>Critère 10.5</t>
        </is>
      </c>
    </row>
    <row r="63">
      <c r="A63" s="12" t="inlineStr">
        <is>
          <t>Présentation de l'information</t>
        </is>
      </c>
      <c r="B63" s="13" t="inlineStr">
        <is>
          <t>10.6</t>
        </is>
      </c>
      <c r="C63" s="12" t="inlineStr">
        <is>
          <t>Dans chaque page web, chaque lien dont la nature n'est pas évidente est-il visible par rapport au texte environnant ?</t>
        </is>
      </c>
      <c r="D63" s="14" t="inlineStr">
        <is>
          <t>C</t>
        </is>
      </c>
      <c r="E63" s="14" t="inlineStr">
        <is>
          <t>C</t>
        </is>
      </c>
      <c r="F63" s="14" t="inlineStr">
        <is>
          <t>C</t>
        </is>
      </c>
      <c r="G63" s="14" t="inlineStr">
        <is>
          <t>C</t>
        </is>
      </c>
      <c r="H63" s="14" t="inlineStr">
        <is>
          <t>C</t>
        </is>
      </c>
      <c r="I63" s="14" t="inlineStr">
        <is>
          <t>C</t>
        </is>
      </c>
      <c r="J63" s="14" t="inlineStr">
        <is>
          <t>C</t>
        </is>
      </c>
      <c r="K63" s="15">
        <f>IF(COUNTIF(D63:J63,"NC")&gt;0,"NC",IF(COUNTIF(D63:J63,"AT")&gt;0,"AT",IF(COUNTIF(D63:J63,"C")&gt;0,"C","NA")))</f>
        <v/>
      </c>
      <c r="L63" s="12" t="inlineStr">
        <is>
          <t>Corrigé le 21/09/2026 : liens soulignés dans l'adresse de contact et dans les lignes des mentions légales (la couleur seule, 1,64:1, ne suffisait pas). Liens de paragraphes et de listes déjà soulignés.</t>
        </is>
      </c>
      <c r="M63" s="16" t="n"/>
      <c r="N63" s="17" t="inlineStr">
        <is>
          <t>Critère 10.6</t>
        </is>
      </c>
    </row>
    <row r="64">
      <c r="A64" s="12" t="inlineStr">
        <is>
          <t>Présentation de l'information</t>
        </is>
      </c>
      <c r="B64" s="13" t="inlineStr">
        <is>
          <t>10.7</t>
        </is>
      </c>
      <c r="C64" s="12" t="inlineStr">
        <is>
          <t>Dans chaque page web, pour chaque élément recevant le focus, la prise de focus est-elle visible ?</t>
        </is>
      </c>
      <c r="D64" s="14" t="inlineStr">
        <is>
          <t>C</t>
        </is>
      </c>
      <c r="E64" s="14" t="inlineStr">
        <is>
          <t>C</t>
        </is>
      </c>
      <c r="F64" s="14" t="inlineStr">
        <is>
          <t>C</t>
        </is>
      </c>
      <c r="G64" s="14" t="inlineStr">
        <is>
          <t>C</t>
        </is>
      </c>
      <c r="H64" s="14" t="inlineStr">
        <is>
          <t>C</t>
        </is>
      </c>
      <c r="I64" s="14" t="inlineStr">
        <is>
          <t>C</t>
        </is>
      </c>
      <c r="J64" s="14" t="inlineStr">
        <is>
          <t>C</t>
        </is>
      </c>
      <c r="K64" s="15">
        <f>IF(COUNTIF(D64:J64,"NC")&gt;0,"NC",IF(COUNTIF(D64:J64,"AT")&gt;0,"AT",IF(COUNTIF(D64:J64,"C")&gt;0,"C","NA")))</f>
        <v/>
      </c>
      <c r="L64" s="12" t="inlineStr">
        <is>
          <t>Parcours au Tab : chaque élément focusable affiche un contour ou l'anneau --focus-ring.</t>
        </is>
      </c>
      <c r="M64" s="16" t="n"/>
      <c r="N64" s="17" t="inlineStr">
        <is>
          <t>Critère 10.7</t>
        </is>
      </c>
    </row>
    <row r="65">
      <c r="A65" s="12" t="inlineStr">
        <is>
          <t>Présentation de l'information</t>
        </is>
      </c>
      <c r="B65" s="13" t="inlineStr">
        <is>
          <t>10.8</t>
        </is>
      </c>
      <c r="C65" s="12" t="inlineStr">
        <is>
          <t>Pour chaque page web, les contenus cachés ont-ils vocation à être ignorés par les technologies d'assistance ?</t>
        </is>
      </c>
      <c r="D65" s="14" t="inlineStr">
        <is>
          <t>C</t>
        </is>
      </c>
      <c r="E65" s="14" t="inlineStr">
        <is>
          <t>C</t>
        </is>
      </c>
      <c r="F65" s="14" t="inlineStr">
        <is>
          <t>C</t>
        </is>
      </c>
      <c r="G65" s="14" t="inlineStr">
        <is>
          <t>C</t>
        </is>
      </c>
      <c r="H65" s="14" t="inlineStr">
        <is>
          <t>C</t>
        </is>
      </c>
      <c r="I65" s="14" t="inlineStr">
        <is>
          <t>C</t>
        </is>
      </c>
      <c r="J65" s="14" t="inlineStr">
        <is>
          <t>C</t>
        </is>
      </c>
      <c r="K65" s="15">
        <f>IF(COUNTIF(D65:J65,"NC")&gt;0,"NC",IF(COUNTIF(D65:J65,"AT")&gt;0,"AT",IF(COUNTIF(D65:J65,"C")&gt;0,"C","NA")))</f>
        <v/>
      </c>
      <c r="L65" s="12" t="inlineStr">
        <is>
          <t>Menu mobile fermé en inert ; carte de statut du formulaire en hidden ; lien d'évitement hors écran jusqu'au focus.</t>
        </is>
      </c>
      <c r="M65" s="16" t="n"/>
      <c r="N65" s="17" t="inlineStr">
        <is>
          <t>Critère 10.8</t>
        </is>
      </c>
    </row>
    <row r="66">
      <c r="A66" s="12" t="inlineStr">
        <is>
          <t>Présentation de l'information</t>
        </is>
      </c>
      <c r="B66" s="13" t="inlineStr">
        <is>
          <t>10.9</t>
        </is>
      </c>
      <c r="C66" s="12" t="inlineStr">
        <is>
          <t>Dans chaque page web, l'information ne doit pas être donnée uniquement par la forme, taille ou position. Cette règle est-elle respectée ?</t>
        </is>
      </c>
      <c r="D66" s="14" t="inlineStr">
        <is>
          <t>C</t>
        </is>
      </c>
      <c r="E66" s="14" t="inlineStr">
        <is>
          <t>C</t>
        </is>
      </c>
      <c r="F66" s="14" t="inlineStr">
        <is>
          <t>C</t>
        </is>
      </c>
      <c r="G66" s="14" t="inlineStr">
        <is>
          <t>C</t>
        </is>
      </c>
      <c r="H66" s="14" t="inlineStr">
        <is>
          <t>C</t>
        </is>
      </c>
      <c r="I66" s="14" t="inlineStr">
        <is>
          <t>C</t>
        </is>
      </c>
      <c r="J66" s="14" t="inlineStr">
        <is>
          <t>C</t>
        </is>
      </c>
      <c r="K66" s="15">
        <f>IF(COUNTIF(D66:J66,"NC")&gt;0,"NC",IF(COUNTIF(D66:J66,"AT")&gt;0,"AT",IF(COUNTIF(D66:J66,"C")&gt;0,"C","NA")))</f>
        <v/>
      </c>
      <c r="L66" s="12" t="inlineStr">
        <is>
          <t>Aucune information donnée uniquement par la forme, la taille ou la position.</t>
        </is>
      </c>
      <c r="M66" s="16" t="n"/>
      <c r="N66" s="17" t="inlineStr">
        <is>
          <t>Critère 10.9</t>
        </is>
      </c>
    </row>
    <row r="67">
      <c r="A67" s="12" t="inlineStr">
        <is>
          <t>Présentation de l'information</t>
        </is>
      </c>
      <c r="B67" s="13" t="inlineStr">
        <is>
          <t>10.10</t>
        </is>
      </c>
      <c r="C67" s="12" t="inlineStr">
        <is>
          <t>Dans chaque page web, l'information ne doit pas être donnée par la forme, taille ou position uniquement. Cette règle est-elle implémentée de façon pertinente ?</t>
        </is>
      </c>
      <c r="D67" s="14" t="inlineStr">
        <is>
          <t>C</t>
        </is>
      </c>
      <c r="E67" s="14" t="inlineStr">
        <is>
          <t>C</t>
        </is>
      </c>
      <c r="F67" s="14" t="inlineStr">
        <is>
          <t>C</t>
        </is>
      </c>
      <c r="G67" s="14" t="inlineStr">
        <is>
          <t>C</t>
        </is>
      </c>
      <c r="H67" s="14" t="inlineStr">
        <is>
          <t>C</t>
        </is>
      </c>
      <c r="I67" s="14" t="inlineStr">
        <is>
          <t>C</t>
        </is>
      </c>
      <c r="J67" s="14" t="inlineStr">
        <is>
          <t>C</t>
        </is>
      </c>
      <c r="K67" s="15">
        <f>IF(COUNTIF(D67:J67,"NC")&gt;0,"NC",IF(COUNTIF(D67:J67,"AT")&gt;0,"AT",IF(COUNTIF(D67:J67,"C")&gt;0,"C","NA")))</f>
        <v/>
      </c>
      <c r="L67" s="12" t="inlineStr">
        <is>
          <t>Idem 10.9.</t>
        </is>
      </c>
      <c r="M67" s="16" t="n"/>
      <c r="N67" s="17" t="inlineStr">
        <is>
          <t>Critère 10.10</t>
        </is>
      </c>
    </row>
    <row r="68">
      <c r="A68" s="12" t="inlineStr">
        <is>
          <t>Présentation de l'information</t>
        </is>
      </c>
      <c r="B68" s="13" t="inlineStr">
        <is>
          <t>10.11</t>
        </is>
      </c>
      <c r="C68" s="12" t="inlineStr">
        <is>
          <t>Pour chaque page web, les contenus peuvent-ils être présentés sans avoir recours à un défilement vertical pour une fenêtre ayant une hauteur de 256px ou à un défilement horizontal pour une fenêtre ayant une largeur de 320px (hors cas particuliers) ?</t>
        </is>
      </c>
      <c r="D68" s="14" t="inlineStr">
        <is>
          <t>C</t>
        </is>
      </c>
      <c r="E68" s="14" t="inlineStr">
        <is>
          <t>C</t>
        </is>
      </c>
      <c r="F68" s="14" t="inlineStr">
        <is>
          <t>C</t>
        </is>
      </c>
      <c r="G68" s="14" t="inlineStr">
        <is>
          <t>C</t>
        </is>
      </c>
      <c r="H68" s="14" t="inlineStr">
        <is>
          <t>C</t>
        </is>
      </c>
      <c r="I68" s="14" t="inlineStr">
        <is>
          <t>C</t>
        </is>
      </c>
      <c r="J68" s="14" t="inlineStr">
        <is>
          <t>C</t>
        </is>
      </c>
      <c r="K68" s="15">
        <f>IF(COUNTIF(D68:J68,"NC")&gt;0,"NC",IF(COUNTIF(D68:J68,"AT")&gt;0,"AT",IF(COUNTIF(D68:J68,"C")&gt;0,"C","NA")))</f>
        <v/>
      </c>
      <c r="L68" s="12" t="inlineStr">
        <is>
          <t>Aucun défilement horizontal à 320 px de large ni à 256 px de haut sur les 7 pages (corrigé le 21/09/2026 : liens légaux du pied de page ; plaquette fluide à l'écran sous 760 px, A4 conservé à l'impression).</t>
        </is>
      </c>
      <c r="M68" s="16" t="n"/>
      <c r="N68" s="17" t="inlineStr">
        <is>
          <t>Critère 10.11</t>
        </is>
      </c>
    </row>
    <row r="69">
      <c r="A69" s="12" t="inlineStr">
        <is>
          <t>Présentation de l'information</t>
        </is>
      </c>
      <c r="B69" s="13" t="inlineStr">
        <is>
          <t>10.12</t>
        </is>
      </c>
      <c r="C69" s="12" t="inlineStr">
        <is>
          <t>Dans chaque page web, les propriétés d'espacement du texte peuvent-elles être redéfinies par l'utilisateur sans perte de contenu ou de fonctionnalité (hors cas particuliers) ?</t>
        </is>
      </c>
      <c r="D69" s="14" t="inlineStr">
        <is>
          <t>AT</t>
        </is>
      </c>
      <c r="E69" s="14" t="inlineStr">
        <is>
          <t>AT</t>
        </is>
      </c>
      <c r="F69" s="14" t="inlineStr">
        <is>
          <t>AT</t>
        </is>
      </c>
      <c r="G69" s="14" t="inlineStr">
        <is>
          <t>AT</t>
        </is>
      </c>
      <c r="H69" s="14" t="inlineStr">
        <is>
          <t>AT</t>
        </is>
      </c>
      <c r="I69" s="14" t="inlineStr">
        <is>
          <t>AT</t>
        </is>
      </c>
      <c r="J69" s="14" t="inlineStr">
        <is>
          <t>AT</t>
        </is>
      </c>
      <c r="K69" s="15">
        <f>IF(COUNTIF(D69:J69,"NC")&gt;0,"NC",IF(COUNTIF(D69:J69,"AT")&gt;0,"AT",IF(COUNTIF(D69:J69,"C")&gt;0,"C","NA")))</f>
        <v/>
      </c>
      <c r="L69" s="12" t="inlineStr">
        <is>
          <t>Espacement WCAG 1.4.12 injecté : aucun débordement horizontal ; aucun texte rogné détecté sur les pages du site (hors décor). Plaquette : couverture à hauteur fixe signalée. Contrôle visuel à faire.</t>
        </is>
      </c>
      <c r="M69" s="16" t="n"/>
      <c r="N69" s="17" t="inlineStr">
        <is>
          <t>Critère 10.12</t>
        </is>
      </c>
    </row>
    <row r="70">
      <c r="A70" s="12" t="inlineStr">
        <is>
          <t>Présentation de l'information</t>
        </is>
      </c>
      <c r="B70" s="13" t="inlineStr">
        <is>
          <t>10.13</t>
        </is>
      </c>
      <c r="C70" s="12" t="inlineStr">
        <is>
          <t>Dans chaque page web, les contenus additionnels apparaissant à la prise de focus ou au survol d'un composant d'interface sont-ils contrôlables par l'utilisateur (hors cas particuliers) ?</t>
        </is>
      </c>
      <c r="D70" s="14" t="inlineStr">
        <is>
          <t>NA</t>
        </is>
      </c>
      <c r="E70" s="14" t="inlineStr">
        <is>
          <t>NA</t>
        </is>
      </c>
      <c r="F70" s="14" t="inlineStr">
        <is>
          <t>NA</t>
        </is>
      </c>
      <c r="G70" s="14" t="inlineStr">
        <is>
          <t>NA</t>
        </is>
      </c>
      <c r="H70" s="14" t="inlineStr">
        <is>
          <t>NA</t>
        </is>
      </c>
      <c r="I70" s="14" t="inlineStr">
        <is>
          <t>NA</t>
        </is>
      </c>
      <c r="J70" s="14" t="inlineStr">
        <is>
          <t>NA</t>
        </is>
      </c>
      <c r="K70" s="15">
        <f>IF(COUNTIF(D70:J70,"NC")&gt;0,"NC",IF(COUNTIF(D70:J70,"AT")&gt;0,"AT",IF(COUNTIF(D70:J70,"C")&gt;0,"C","NA")))</f>
        <v/>
      </c>
      <c r="L70" s="12" t="inlineStr">
        <is>
          <t>Aucun contenu additionnel au survol ou au focus (hors infobulles natives des communes de la carte).</t>
        </is>
      </c>
      <c r="M70" s="16" t="n"/>
      <c r="N70" s="17" t="inlineStr">
        <is>
          <t>Critère 10.13</t>
        </is>
      </c>
    </row>
    <row r="71">
      <c r="A71" s="12" t="inlineStr">
        <is>
          <t>Présentation de l'information</t>
        </is>
      </c>
      <c r="B71" s="13" t="inlineStr">
        <is>
          <t>10.14</t>
        </is>
      </c>
      <c r="C71" s="12" t="inlineStr">
        <is>
          <t>Dans chaque page web, les contenus additionnels apparaissant via les styles CSS uniquement peuvent-ils être rendus visibles au clavier et par tout dispositif de pointage ?</t>
        </is>
      </c>
      <c r="D71" s="14" t="inlineStr">
        <is>
          <t>NA</t>
        </is>
      </c>
      <c r="E71" s="14" t="inlineStr">
        <is>
          <t>NA</t>
        </is>
      </c>
      <c r="F71" s="14" t="inlineStr">
        <is>
          <t>NA</t>
        </is>
      </c>
      <c r="G71" s="14" t="inlineStr">
        <is>
          <t>NA</t>
        </is>
      </c>
      <c r="H71" s="14" t="inlineStr">
        <is>
          <t>NA</t>
        </is>
      </c>
      <c r="I71" s="14" t="inlineStr">
        <is>
          <t>NA</t>
        </is>
      </c>
      <c r="J71" s="14" t="inlineStr">
        <is>
          <t>NA</t>
        </is>
      </c>
      <c r="K71" s="15">
        <f>IF(COUNTIF(D71:J71,"NC")&gt;0,"NC",IF(COUNTIF(D71:J71,"AT")&gt;0,"AT",IF(COUNTIF(D71:J71,"C")&gt;0,"C","NA")))</f>
        <v/>
      </c>
      <c r="L71" s="12" t="inlineStr">
        <is>
          <t>Aucun contenu révélé par CSS seul.</t>
        </is>
      </c>
      <c r="M71" s="16" t="n"/>
      <c r="N71" s="17" t="inlineStr">
        <is>
          <t>Critère 10.14</t>
        </is>
      </c>
    </row>
    <row r="72">
      <c r="A72" s="12" t="inlineStr">
        <is>
          <t>Formulaires</t>
        </is>
      </c>
      <c r="B72" s="13" t="inlineStr">
        <is>
          <t>11.1</t>
        </is>
      </c>
      <c r="C72" s="12" t="inlineStr">
        <is>
          <t>Chaque champ de formulaire a-t-il une étiquette ?</t>
        </is>
      </c>
      <c r="D72" s="14" t="inlineStr">
        <is>
          <t>NA</t>
        </is>
      </c>
      <c r="E72" s="14" t="inlineStr">
        <is>
          <t>NA</t>
        </is>
      </c>
      <c r="F72" s="14" t="inlineStr">
        <is>
          <t>NA</t>
        </is>
      </c>
      <c r="G72" s="14" t="inlineStr">
        <is>
          <t>C</t>
        </is>
      </c>
      <c r="H72" s="14" t="inlineStr">
        <is>
          <t>NA</t>
        </is>
      </c>
      <c r="I72" s="14" t="inlineStr">
        <is>
          <t>NA</t>
        </is>
      </c>
      <c r="J72" s="14" t="inlineStr">
        <is>
          <t>NA</t>
        </is>
      </c>
      <c r="K72" s="15">
        <f>IF(COUNTIF(D72:J72,"NC")&gt;0,"NC",IF(COUNTIF(D72:J72,"AT")&gt;0,"AT",IF(COUNTIF(D72:J72,"C")&gt;0,"C","NA")))</f>
        <v/>
      </c>
      <c r="L72" s="12" t="inlineStr">
        <is>
          <t>Contact : chaque champ a un &lt;label for&gt; (nom, email, message) ; boutons radio étiquetés.</t>
        </is>
      </c>
      <c r="M72" s="16" t="n"/>
      <c r="N72" s="17" t="inlineStr">
        <is>
          <t>Critère 11.1</t>
        </is>
      </c>
    </row>
    <row r="73">
      <c r="A73" s="12" t="inlineStr">
        <is>
          <t>Formulaires</t>
        </is>
      </c>
      <c r="B73" s="13" t="inlineStr">
        <is>
          <t>11.2</t>
        </is>
      </c>
      <c r="C73" s="12" t="inlineStr">
        <is>
          <t>Chaque étiquette associée à un champ de formulaire est-elle pertinente (hors cas particuliers) ?</t>
        </is>
      </c>
      <c r="D73" s="14" t="inlineStr">
        <is>
          <t>NA</t>
        </is>
      </c>
      <c r="E73" s="14" t="inlineStr">
        <is>
          <t>NA</t>
        </is>
      </c>
      <c r="F73" s="14" t="inlineStr">
        <is>
          <t>NA</t>
        </is>
      </c>
      <c r="G73" s="14" t="inlineStr">
        <is>
          <t>C</t>
        </is>
      </c>
      <c r="H73" s="14" t="inlineStr">
        <is>
          <t>NA</t>
        </is>
      </c>
      <c r="I73" s="14" t="inlineStr">
        <is>
          <t>NA</t>
        </is>
      </c>
      <c r="J73" s="14" t="inlineStr">
        <is>
          <t>NA</t>
        </is>
      </c>
      <c r="K73" s="15">
        <f>IF(COUNTIF(D73:J73,"NC")&gt;0,"NC",IF(COUNTIF(D73:J73,"AT")&gt;0,"AT",IF(COUNTIF(D73:J73,"C")&gt;0,"C","NA")))</f>
        <v/>
      </c>
      <c r="L73" s="12" t="inlineStr">
        <is>
          <t>Étiquettes : « Prénom et nom », « Adresse e-mail », « Message », types de structure.</t>
        </is>
      </c>
      <c r="M73" s="16" t="n"/>
      <c r="N73" s="17" t="inlineStr">
        <is>
          <t>Critère 11.2</t>
        </is>
      </c>
    </row>
    <row r="74">
      <c r="A74" s="12" t="inlineStr">
        <is>
          <t>Formulaires</t>
        </is>
      </c>
      <c r="B74" s="13" t="inlineStr">
        <is>
          <t>11.3</t>
        </is>
      </c>
      <c r="C74" s="12" t="inlineStr">
        <is>
          <t>Dans chaque formulaire, chaque étiquette associée à un champ de formulaire ayant la même fonction et répétée plusieurs fois dans une même page ou dans un ensemble de pages est-elle cohérente ?</t>
        </is>
      </c>
      <c r="D74" s="14" t="inlineStr">
        <is>
          <t>NA</t>
        </is>
      </c>
      <c r="E74" s="14" t="inlineStr">
        <is>
          <t>NA</t>
        </is>
      </c>
      <c r="F74" s="14" t="inlineStr">
        <is>
          <t>NA</t>
        </is>
      </c>
      <c r="G74" s="14" t="inlineStr">
        <is>
          <t>NA</t>
        </is>
      </c>
      <c r="H74" s="14" t="inlineStr">
        <is>
          <t>NA</t>
        </is>
      </c>
      <c r="I74" s="14" t="inlineStr">
        <is>
          <t>NA</t>
        </is>
      </c>
      <c r="J74" s="14" t="inlineStr">
        <is>
          <t>NA</t>
        </is>
      </c>
      <c r="K74" s="15">
        <f>IF(COUNTIF(D74:J74,"NC")&gt;0,"NC",IF(COUNTIF(D74:J74,"AT")&gt;0,"AT",IF(COUNTIF(D74:J74,"C")&gt;0,"C","NA")))</f>
        <v/>
      </c>
      <c r="L74" s="12" t="inlineStr">
        <is>
          <t>Un seul formulaire sur le site.</t>
        </is>
      </c>
      <c r="M74" s="16" t="n"/>
      <c r="N74" s="17" t="inlineStr">
        <is>
          <t>Critère 11.3</t>
        </is>
      </c>
    </row>
    <row r="75">
      <c r="A75" s="12" t="inlineStr">
        <is>
          <t>Formulaires</t>
        </is>
      </c>
      <c r="B75" s="13" t="inlineStr">
        <is>
          <t>11.4</t>
        </is>
      </c>
      <c r="C75" s="12" t="inlineStr">
        <is>
          <t>Dans chaque formulaire, chaque étiquette de champ et son champ associé sont-ils accolés (hors cas particuliers) ?</t>
        </is>
      </c>
      <c r="D75" s="14" t="inlineStr">
        <is>
          <t>NA</t>
        </is>
      </c>
      <c r="E75" s="14" t="inlineStr">
        <is>
          <t>NA</t>
        </is>
      </c>
      <c r="F75" s="14" t="inlineStr">
        <is>
          <t>NA</t>
        </is>
      </c>
      <c r="G75" s="14" t="inlineStr">
        <is>
          <t>C</t>
        </is>
      </c>
      <c r="H75" s="14" t="inlineStr">
        <is>
          <t>NA</t>
        </is>
      </c>
      <c r="I75" s="14" t="inlineStr">
        <is>
          <t>NA</t>
        </is>
      </c>
      <c r="J75" s="14" t="inlineStr">
        <is>
          <t>NA</t>
        </is>
      </c>
      <c r="K75" s="15">
        <f>IF(COUNTIF(D75:J75,"NC")&gt;0,"NC",IF(COUNTIF(D75:J75,"AT")&gt;0,"AT",IF(COUNTIF(D75:J75,"C")&gt;0,"C","NA")))</f>
        <v/>
      </c>
      <c r="L75" s="12" t="inlineStr">
        <is>
          <t>Étiquettes accolées au-dessus de leur champ.</t>
        </is>
      </c>
      <c r="M75" s="16" t="n"/>
      <c r="N75" s="17" t="inlineStr">
        <is>
          <t>Critère 11.4</t>
        </is>
      </c>
    </row>
    <row r="76">
      <c r="A76" s="12" t="inlineStr">
        <is>
          <t>Formulaires</t>
        </is>
      </c>
      <c r="B76" s="13" t="inlineStr">
        <is>
          <t>11.5</t>
        </is>
      </c>
      <c r="C76" s="12" t="inlineStr">
        <is>
          <t>Dans chaque formulaire, les champs de même nature sont-ils regroupés, si nécessaire ?</t>
        </is>
      </c>
      <c r="D76" s="14" t="inlineStr">
        <is>
          <t>NA</t>
        </is>
      </c>
      <c r="E76" s="14" t="inlineStr">
        <is>
          <t>NA</t>
        </is>
      </c>
      <c r="F76" s="14" t="inlineStr">
        <is>
          <t>NA</t>
        </is>
      </c>
      <c r="G76" s="14" t="inlineStr">
        <is>
          <t>C</t>
        </is>
      </c>
      <c r="H76" s="14" t="inlineStr">
        <is>
          <t>NA</t>
        </is>
      </c>
      <c r="I76" s="14" t="inlineStr">
        <is>
          <t>NA</t>
        </is>
      </c>
      <c r="J76" s="14" t="inlineStr">
        <is>
          <t>NA</t>
        </is>
      </c>
      <c r="K76" s="15">
        <f>IF(COUNTIF(D76:J76,"NC")&gt;0,"NC",IF(COUNTIF(D76:J76,"AT")&gt;0,"AT",IF(COUNTIF(D76:J76,"C")&gt;0,"C","NA")))</f>
        <v/>
      </c>
      <c r="L76" s="12" t="inlineStr">
        <is>
          <t>Choix du type de structure regroupés dans un fieldset.</t>
        </is>
      </c>
      <c r="M76" s="16" t="n"/>
      <c r="N76" s="17" t="inlineStr">
        <is>
          <t>Critère 11.5</t>
        </is>
      </c>
    </row>
    <row r="77">
      <c r="A77" s="12" t="inlineStr">
        <is>
          <t>Formulaires</t>
        </is>
      </c>
      <c r="B77" s="13" t="inlineStr">
        <is>
          <t>11.6</t>
        </is>
      </c>
      <c r="C77" s="12" t="inlineStr">
        <is>
          <t>Dans chaque formulaire, chaque regroupement de champs de même nature a-t-il une légende ?</t>
        </is>
      </c>
      <c r="D77" s="14" t="inlineStr">
        <is>
          <t>NA</t>
        </is>
      </c>
      <c r="E77" s="14" t="inlineStr">
        <is>
          <t>NA</t>
        </is>
      </c>
      <c r="F77" s="14" t="inlineStr">
        <is>
          <t>NA</t>
        </is>
      </c>
      <c r="G77" s="14" t="inlineStr">
        <is>
          <t>C</t>
        </is>
      </c>
      <c r="H77" s="14" t="inlineStr">
        <is>
          <t>NA</t>
        </is>
      </c>
      <c r="I77" s="14" t="inlineStr">
        <is>
          <t>NA</t>
        </is>
      </c>
      <c r="J77" s="14" t="inlineStr">
        <is>
          <t>NA</t>
        </is>
      </c>
      <c r="K77" s="15">
        <f>IF(COUNTIF(D77:J77,"NC")&gt;0,"NC",IF(COUNTIF(D77:J77,"AT")&gt;0,"AT",IF(COUNTIF(D77:J77,"C")&gt;0,"C","NA")))</f>
        <v/>
      </c>
      <c r="L77" s="12" t="inlineStr">
        <is>
          <t>Légende « Type de structure ».</t>
        </is>
      </c>
      <c r="M77" s="16" t="n"/>
      <c r="N77" s="17" t="inlineStr">
        <is>
          <t>Critère 11.6</t>
        </is>
      </c>
    </row>
    <row r="78">
      <c r="A78" s="12" t="inlineStr">
        <is>
          <t>Formulaires</t>
        </is>
      </c>
      <c r="B78" s="13" t="inlineStr">
        <is>
          <t>11.7</t>
        </is>
      </c>
      <c r="C78" s="12" t="inlineStr">
        <is>
          <t>Dans chaque formulaire, chaque légende associée à un regroupement de champs de même nature est-elle pertinente ?</t>
        </is>
      </c>
      <c r="D78" s="14" t="inlineStr">
        <is>
          <t>NA</t>
        </is>
      </c>
      <c r="E78" s="14" t="inlineStr">
        <is>
          <t>NA</t>
        </is>
      </c>
      <c r="F78" s="14" t="inlineStr">
        <is>
          <t>NA</t>
        </is>
      </c>
      <c r="G78" s="14" t="inlineStr">
        <is>
          <t>C</t>
        </is>
      </c>
      <c r="H78" s="14" t="inlineStr">
        <is>
          <t>NA</t>
        </is>
      </c>
      <c r="I78" s="14" t="inlineStr">
        <is>
          <t>NA</t>
        </is>
      </c>
      <c r="J78" s="14" t="inlineStr">
        <is>
          <t>NA</t>
        </is>
      </c>
      <c r="K78" s="15">
        <f>IF(COUNTIF(D78:J78,"NC")&gt;0,"NC",IF(COUNTIF(D78:J78,"AT")&gt;0,"AT",IF(COUNTIF(D78:J78,"C")&gt;0,"C","NA")))</f>
        <v/>
      </c>
      <c r="L78" s="12" t="inlineStr">
        <is>
          <t>Légende pertinente.</t>
        </is>
      </c>
      <c r="M78" s="16" t="n"/>
      <c r="N78" s="17" t="inlineStr">
        <is>
          <t>Critère 11.7</t>
        </is>
      </c>
    </row>
    <row r="79">
      <c r="A79" s="12" t="inlineStr">
        <is>
          <t>Formulaires</t>
        </is>
      </c>
      <c r="B79" s="13" t="inlineStr">
        <is>
          <t>11.8</t>
        </is>
      </c>
      <c r="C79" s="12" t="inlineStr">
        <is>
          <t>Dans chaque formulaire, les items de même nature d'une liste de choix sont-ils regroupés de manière pertinente ?</t>
        </is>
      </c>
      <c r="D79" s="14" t="inlineStr">
        <is>
          <t>NA</t>
        </is>
      </c>
      <c r="E79" s="14" t="inlineStr">
        <is>
          <t>NA</t>
        </is>
      </c>
      <c r="F79" s="14" t="inlineStr">
        <is>
          <t>NA</t>
        </is>
      </c>
      <c r="G79" s="14" t="inlineStr">
        <is>
          <t>NA</t>
        </is>
      </c>
      <c r="H79" s="14" t="inlineStr">
        <is>
          <t>NA</t>
        </is>
      </c>
      <c r="I79" s="14" t="inlineStr">
        <is>
          <t>NA</t>
        </is>
      </c>
      <c r="J79" s="14" t="inlineStr">
        <is>
          <t>NA</t>
        </is>
      </c>
      <c r="K79" s="15">
        <f>IF(COUNTIF(D79:J79,"NC")&gt;0,"NC",IF(COUNTIF(D79:J79,"AT")&gt;0,"AT",IF(COUNTIF(D79:J79,"C")&gt;0,"C","NA")))</f>
        <v/>
      </c>
      <c r="L79" s="12" t="inlineStr">
        <is>
          <t>Aucune liste de choix (select).</t>
        </is>
      </c>
      <c r="M79" s="16" t="n"/>
      <c r="N79" s="17" t="inlineStr">
        <is>
          <t>Critère 11.8</t>
        </is>
      </c>
    </row>
    <row r="80">
      <c r="A80" s="12" t="inlineStr">
        <is>
          <t>Formulaires</t>
        </is>
      </c>
      <c r="B80" s="13" t="inlineStr">
        <is>
          <t>11.9</t>
        </is>
      </c>
      <c r="C80" s="12" t="inlineStr">
        <is>
          <t>Dans chaque formulaire, l'intitulé de chaque bouton est-il pertinent (hors cas particuliers) ?</t>
        </is>
      </c>
      <c r="D80" s="14" t="inlineStr">
        <is>
          <t>NA</t>
        </is>
      </c>
      <c r="E80" s="14" t="inlineStr">
        <is>
          <t>NA</t>
        </is>
      </c>
      <c r="F80" s="14" t="inlineStr">
        <is>
          <t>NA</t>
        </is>
      </c>
      <c r="G80" s="14" t="inlineStr">
        <is>
          <t>C</t>
        </is>
      </c>
      <c r="H80" s="14" t="inlineStr">
        <is>
          <t>NA</t>
        </is>
      </c>
      <c r="I80" s="14" t="inlineStr">
        <is>
          <t>NA</t>
        </is>
      </c>
      <c r="J80" s="14" t="inlineStr">
        <is>
          <t>NA</t>
        </is>
      </c>
      <c r="K80" s="15">
        <f>IF(COUNTIF(D80:J80,"NC")&gt;0,"NC",IF(COUNTIF(D80:J80,"AT")&gt;0,"AT",IF(COUNTIF(D80:J80,"C")&gt;0,"C","NA")))</f>
        <v/>
      </c>
      <c r="L80" s="12" t="inlineStr">
        <is>
          <t>Bouton « Envoyer ».</t>
        </is>
      </c>
      <c r="M80" s="16" t="n"/>
      <c r="N80" s="17" t="inlineStr">
        <is>
          <t>Critère 11.9</t>
        </is>
      </c>
    </row>
    <row r="81">
      <c r="A81" s="12" t="inlineStr">
        <is>
          <t>Formulaires</t>
        </is>
      </c>
      <c r="B81" s="13" t="inlineStr">
        <is>
          <t>11.10</t>
        </is>
      </c>
      <c r="C81" s="12" t="inlineStr">
        <is>
          <t>Dans chaque formulaire, le contrôle de saisie est-il utilisé de manière pertinente (hors cas particuliers) ?</t>
        </is>
      </c>
      <c r="D81" s="14" t="inlineStr">
        <is>
          <t>NA</t>
        </is>
      </c>
      <c r="E81" s="14" t="inlineStr">
        <is>
          <t>NA</t>
        </is>
      </c>
      <c r="F81" s="14" t="inlineStr">
        <is>
          <t>NA</t>
        </is>
      </c>
      <c r="G81" s="14" t="inlineStr">
        <is>
          <t>AT</t>
        </is>
      </c>
      <c r="H81" s="14" t="inlineStr">
        <is>
          <t>NA</t>
        </is>
      </c>
      <c r="I81" s="14" t="inlineStr">
        <is>
          <t>NA</t>
        </is>
      </c>
      <c r="J81" s="14" t="inlineStr">
        <is>
          <t>NA</t>
        </is>
      </c>
      <c r="K81" s="15">
        <f>IF(COUNTIF(D81:J81,"NC")&gt;0,"NC",IF(COUNTIF(D81:J81,"AT")&gt;0,"AT",IF(COUNTIF(D81:J81,"C")&gt;0,"C","NA")))</f>
        <v/>
      </c>
      <c r="L81" s="12" t="inlineStr">
        <is>
          <t>Champs requis signalés (* + légende, required). Messages d'erreur : ceux du navigateur — vérifier leur restitution au lecteur d'écran.</t>
        </is>
      </c>
      <c r="M81" s="16" t="n"/>
      <c r="N81" s="17" t="inlineStr">
        <is>
          <t>Critère 11.10</t>
        </is>
      </c>
    </row>
    <row r="82">
      <c r="A82" s="12" t="inlineStr">
        <is>
          <t>Formulaires</t>
        </is>
      </c>
      <c r="B82" s="13" t="inlineStr">
        <is>
          <t>11.11</t>
        </is>
      </c>
      <c r="C82" s="12" t="inlineStr">
        <is>
          <t>Dans chaque formulaire, le contrôle de saisie est-il accompagné, si nécessaire, de suggestions facilitant la correction des erreurs de saisie ?</t>
        </is>
      </c>
      <c r="D82" s="14" t="inlineStr">
        <is>
          <t>NA</t>
        </is>
      </c>
      <c r="E82" s="14" t="inlineStr">
        <is>
          <t>NA</t>
        </is>
      </c>
      <c r="F82" s="14" t="inlineStr">
        <is>
          <t>NA</t>
        </is>
      </c>
      <c r="G82" s="14" t="inlineStr">
        <is>
          <t>AT</t>
        </is>
      </c>
      <c r="H82" s="14" t="inlineStr">
        <is>
          <t>NA</t>
        </is>
      </c>
      <c r="I82" s="14" t="inlineStr">
        <is>
          <t>NA</t>
        </is>
      </c>
      <c r="J82" s="14" t="inlineStr">
        <is>
          <t>NA</t>
        </is>
      </c>
      <c r="K82" s="15">
        <f>IF(COUNTIF(D82:J82,"NC")&gt;0,"NC",IF(COUNTIF(D82:J82,"AT")&gt;0,"AT",IF(COUNTIF(D82:J82,"C")&gt;0,"C","NA")))</f>
        <v/>
      </c>
      <c r="L82" s="12" t="inlineStr">
        <is>
          <t>Format d'email : message natif du navigateur ; vérifier qu'il suggère la correction.</t>
        </is>
      </c>
      <c r="M82" s="16" t="n"/>
      <c r="N82" s="17" t="inlineStr">
        <is>
          <t>Critère 11.11</t>
        </is>
      </c>
    </row>
    <row r="83">
      <c r="A83" s="12" t="inlineStr">
        <is>
          <t>Formulaires</t>
        </is>
      </c>
      <c r="B83" s="13" t="inlineStr">
        <is>
          <t>11.12</t>
        </is>
      </c>
      <c r="C83" s="12" t="inlineStr">
        <is>
          <t>Pour chaque formulaire qui modifie ou supprime des données, ou qui transmet des réponses à un test ou à un examen, ou dont la validation a des conséquences financières ou juridiques, les données saisies peuvent-elles être modifiées, mises à jour ou récupérées par l'utilisateur ?</t>
        </is>
      </c>
      <c r="D83" s="14" t="inlineStr">
        <is>
          <t>NA</t>
        </is>
      </c>
      <c r="E83" s="14" t="inlineStr">
        <is>
          <t>NA</t>
        </is>
      </c>
      <c r="F83" s="14" t="inlineStr">
        <is>
          <t>NA</t>
        </is>
      </c>
      <c r="G83" s="14" t="inlineStr">
        <is>
          <t>NA</t>
        </is>
      </c>
      <c r="H83" s="14" t="inlineStr">
        <is>
          <t>NA</t>
        </is>
      </c>
      <c r="I83" s="14" t="inlineStr">
        <is>
          <t>NA</t>
        </is>
      </c>
      <c r="J83" s="14" t="inlineStr">
        <is>
          <t>NA</t>
        </is>
      </c>
      <c r="K83" s="15">
        <f>IF(COUNTIF(D83:J83,"NC")&gt;0,"NC",IF(COUNTIF(D83:J83,"AT")&gt;0,"AT",IF(COUNTIF(D83:J83,"C")&gt;0,"C","NA")))</f>
        <v/>
      </c>
      <c r="L83" s="12" t="inlineStr">
        <is>
          <t>Le formulaire ne modifie ni ne supprime de données et n'a pas de conséquence financière ou juridique.</t>
        </is>
      </c>
      <c r="M83" s="16" t="n"/>
      <c r="N83" s="17" t="inlineStr">
        <is>
          <t>Critère 11.12</t>
        </is>
      </c>
    </row>
    <row r="84">
      <c r="A84" s="12" t="inlineStr">
        <is>
          <t>Formulaires</t>
        </is>
      </c>
      <c r="B84" s="13" t="inlineStr">
        <is>
          <t>11.13</t>
        </is>
      </c>
      <c r="C84" s="12" t="inlineStr">
        <is>
          <t>La finalité d'un champ de saisie peut-elle être déduite pour faciliter le remplissage automatique des champs avec les données de l'utilisateur ?</t>
        </is>
      </c>
      <c r="D84" s="14" t="inlineStr">
        <is>
          <t>NA</t>
        </is>
      </c>
      <c r="E84" s="14" t="inlineStr">
        <is>
          <t>NA</t>
        </is>
      </c>
      <c r="F84" s="14" t="inlineStr">
        <is>
          <t>NA</t>
        </is>
      </c>
      <c r="G84" s="14" t="inlineStr">
        <is>
          <t>C</t>
        </is>
      </c>
      <c r="H84" s="14" t="inlineStr">
        <is>
          <t>NA</t>
        </is>
      </c>
      <c r="I84" s="14" t="inlineStr">
        <is>
          <t>NA</t>
        </is>
      </c>
      <c r="J84" s="14" t="inlineStr">
        <is>
          <t>NA</t>
        </is>
      </c>
      <c r="K84" s="15">
        <f>IF(COUNTIF(D84:J84,"NC")&gt;0,"NC",IF(COUNTIF(D84:J84,"AT")&gt;0,"AT",IF(COUNTIF(D84:J84,"C")&gt;0,"C","NA")))</f>
        <v/>
      </c>
      <c r="L84" s="12" t="inlineStr">
        <is>
          <t>autocomplete="name" et autocomplete="email".</t>
        </is>
      </c>
      <c r="M84" s="16" t="n"/>
      <c r="N84" s="17" t="inlineStr">
        <is>
          <t>Critère 11.13</t>
        </is>
      </c>
    </row>
    <row r="85">
      <c r="A85" s="12" t="inlineStr">
        <is>
          <t>Navigation</t>
        </is>
      </c>
      <c r="B85" s="13" t="inlineStr">
        <is>
          <t>12.1</t>
        </is>
      </c>
      <c r="C85" s="12" t="inlineStr">
        <is>
          <t>Chaque ensemble de pages dispose-t-il de deux systèmes de navigation différents, au moins (hors cas particuliers) ?</t>
        </is>
      </c>
      <c r="D85" s="14" t="inlineStr">
        <is>
          <t>NA</t>
        </is>
      </c>
      <c r="E85" s="14" t="inlineStr">
        <is>
          <t>NA</t>
        </is>
      </c>
      <c r="F85" s="14" t="inlineStr">
        <is>
          <t>NA</t>
        </is>
      </c>
      <c r="G85" s="14" t="inlineStr">
        <is>
          <t>NA</t>
        </is>
      </c>
      <c r="H85" s="14" t="inlineStr">
        <is>
          <t>NA</t>
        </is>
      </c>
      <c r="I85" s="14" t="inlineStr">
        <is>
          <t>NA</t>
        </is>
      </c>
      <c r="J85" s="14" t="inlineStr">
        <is>
          <t>NA</t>
        </is>
      </c>
      <c r="K85" s="15">
        <f>IF(COUNTIF(D85:J85,"NC")&gt;0,"NC",IF(COUNTIF(D85:J85,"AT")&gt;0,"AT",IF(COUNTIF(D85:J85,"C")&gt;0,"C","NA")))</f>
        <v/>
      </c>
      <c r="L85" s="12" t="inlineStr">
        <is>
          <t>Cas particulier : site d'un nombre très limité de pages, toutes atteignables depuis l'accueil.</t>
        </is>
      </c>
      <c r="M85" s="16" t="n"/>
      <c r="N85" s="17" t="inlineStr">
        <is>
          <t>Critère 12.1</t>
        </is>
      </c>
    </row>
    <row r="86">
      <c r="A86" s="12" t="inlineStr">
        <is>
          <t>Navigation</t>
        </is>
      </c>
      <c r="B86" s="13" t="inlineStr">
        <is>
          <t>12.2</t>
        </is>
      </c>
      <c r="C86" s="12" t="inlineStr">
        <is>
          <t>Dans chaque ensemble de pages, le menu et les barres de navigation sont-ils toujours à la même place (hors cas particuliers) ?</t>
        </is>
      </c>
      <c r="D86" s="14" t="inlineStr">
        <is>
          <t>C</t>
        </is>
      </c>
      <c r="E86" s="14" t="inlineStr">
        <is>
          <t>C</t>
        </is>
      </c>
      <c r="F86" s="14" t="inlineStr">
        <is>
          <t>C</t>
        </is>
      </c>
      <c r="G86" s="14" t="inlineStr">
        <is>
          <t>C</t>
        </is>
      </c>
      <c r="H86" s="14" t="inlineStr">
        <is>
          <t>C</t>
        </is>
      </c>
      <c r="I86" s="14" t="inlineStr">
        <is>
          <t>C</t>
        </is>
      </c>
      <c r="J86" s="14" t="inlineStr">
        <is>
          <t>NA</t>
        </is>
      </c>
      <c r="K86" s="15">
        <f>IF(COUNTIF(D86:J86,"NC")&gt;0,"NC",IF(COUNTIF(D86:J86,"AT")&gt;0,"AT",IF(COUNTIF(D86:J86,"C")&gt;0,"C","NA")))</f>
        <v/>
      </c>
      <c r="L86" s="12" t="inlineStr">
        <is>
          <t>Menu et pied de page identiques et au même endroit sur toutes les pages du site. Plaquette : vue document hors gabarit.</t>
        </is>
      </c>
      <c r="M86" s="16" t="n"/>
      <c r="N86" s="17" t="inlineStr">
        <is>
          <t>Critère 12.2</t>
        </is>
      </c>
    </row>
    <row r="87">
      <c r="A87" s="12" t="inlineStr">
        <is>
          <t>Navigation</t>
        </is>
      </c>
      <c r="B87" s="13" t="inlineStr">
        <is>
          <t>12.3</t>
        </is>
      </c>
      <c r="C87" s="12" t="inlineStr">
        <is>
          <t>La page « plan du site » est-elle pertinente ?</t>
        </is>
      </c>
      <c r="D87" s="14" t="inlineStr">
        <is>
          <t>NA</t>
        </is>
      </c>
      <c r="E87" s="14" t="inlineStr">
        <is>
          <t>NA</t>
        </is>
      </c>
      <c r="F87" s="14" t="inlineStr">
        <is>
          <t>NA</t>
        </is>
      </c>
      <c r="G87" s="14" t="inlineStr">
        <is>
          <t>NA</t>
        </is>
      </c>
      <c r="H87" s="14" t="inlineStr">
        <is>
          <t>NA</t>
        </is>
      </c>
      <c r="I87" s="14" t="inlineStr">
        <is>
          <t>NA</t>
        </is>
      </c>
      <c r="J87" s="14" t="inlineStr">
        <is>
          <t>NA</t>
        </is>
      </c>
      <c r="K87" s="15">
        <f>IF(COUNTIF(D87:J87,"NC")&gt;0,"NC",IF(COUNTIF(D87:J87,"AT")&gt;0,"AT",IF(COUNTIF(D87:J87,"C")&gt;0,"C","NA")))</f>
        <v/>
      </c>
      <c r="L87" s="12" t="inlineStr">
        <is>
          <t>Pas de plan du site (non requis, cf. 12.1).</t>
        </is>
      </c>
      <c r="M87" s="16" t="n"/>
      <c r="N87" s="17" t="inlineStr">
        <is>
          <t>Critère 12.3</t>
        </is>
      </c>
    </row>
    <row r="88">
      <c r="A88" s="12" t="inlineStr">
        <is>
          <t>Navigation</t>
        </is>
      </c>
      <c r="B88" s="13" t="inlineStr">
        <is>
          <t>12.4</t>
        </is>
      </c>
      <c r="C88" s="12" t="inlineStr">
        <is>
          <t>Dans chaque ensemble de pages, la page « plan du site » est-elle atteignable de manière identique ?</t>
        </is>
      </c>
      <c r="D88" s="14" t="inlineStr">
        <is>
          <t>NA</t>
        </is>
      </c>
      <c r="E88" s="14" t="inlineStr">
        <is>
          <t>NA</t>
        </is>
      </c>
      <c r="F88" s="14" t="inlineStr">
        <is>
          <t>NA</t>
        </is>
      </c>
      <c r="G88" s="14" t="inlineStr">
        <is>
          <t>NA</t>
        </is>
      </c>
      <c r="H88" s="14" t="inlineStr">
        <is>
          <t>NA</t>
        </is>
      </c>
      <c r="I88" s="14" t="inlineStr">
        <is>
          <t>NA</t>
        </is>
      </c>
      <c r="J88" s="14" t="inlineStr">
        <is>
          <t>NA</t>
        </is>
      </c>
      <c r="K88" s="15">
        <f>IF(COUNTIF(D88:J88,"NC")&gt;0,"NC",IF(COUNTIF(D88:J88,"AT")&gt;0,"AT",IF(COUNTIF(D88:J88,"C")&gt;0,"C","NA")))</f>
        <v/>
      </c>
      <c r="L88" s="12" t="inlineStr">
        <is>
          <t>Pas de plan du site.</t>
        </is>
      </c>
      <c r="M88" s="16" t="n"/>
      <c r="N88" s="17" t="inlineStr">
        <is>
          <t>Critère 12.4</t>
        </is>
      </c>
    </row>
    <row r="89">
      <c r="A89" s="12" t="inlineStr">
        <is>
          <t>Navigation</t>
        </is>
      </c>
      <c r="B89" s="13" t="inlineStr">
        <is>
          <t>12.5</t>
        </is>
      </c>
      <c r="C89" s="12" t="inlineStr">
        <is>
          <t>Dans chaque ensemble de pages, le moteur de recherche est-il atteignable de manière identique ?</t>
        </is>
      </c>
      <c r="D89" s="14" t="inlineStr">
        <is>
          <t>NA</t>
        </is>
      </c>
      <c r="E89" s="14" t="inlineStr">
        <is>
          <t>NA</t>
        </is>
      </c>
      <c r="F89" s="14" t="inlineStr">
        <is>
          <t>NA</t>
        </is>
      </c>
      <c r="G89" s="14" t="inlineStr">
        <is>
          <t>NA</t>
        </is>
      </c>
      <c r="H89" s="14" t="inlineStr">
        <is>
          <t>NA</t>
        </is>
      </c>
      <c r="I89" s="14" t="inlineStr">
        <is>
          <t>NA</t>
        </is>
      </c>
      <c r="J89" s="14" t="inlineStr">
        <is>
          <t>NA</t>
        </is>
      </c>
      <c r="K89" s="15">
        <f>IF(COUNTIF(D89:J89,"NC")&gt;0,"NC",IF(COUNTIF(D89:J89,"AT")&gt;0,"AT",IF(COUNTIF(D89:J89,"C")&gt;0,"C","NA")))</f>
        <v/>
      </c>
      <c r="L89" s="12" t="inlineStr">
        <is>
          <t>Pas de moteur de recherche.</t>
        </is>
      </c>
      <c r="M89" s="16" t="n"/>
      <c r="N89" s="17" t="inlineStr">
        <is>
          <t>Critère 12.5</t>
        </is>
      </c>
    </row>
    <row r="90">
      <c r="A90" s="12" t="inlineStr">
        <is>
          <t>Navigation</t>
        </is>
      </c>
      <c r="B90" s="13" t="inlineStr">
        <is>
          <t>12.6</t>
        </is>
      </c>
      <c r="C90" s="12" t="inlineStr">
        <is>
          <t>Les zones de regroupement de contenus présentes dans plusieurs pages web (zones d'en-tête, de navigation principale, de contenu principal, de pied de page et de moteur de recherche) peuvent-elles être atteintes ou évitées ?</t>
        </is>
      </c>
      <c r="D90" s="14" t="inlineStr">
        <is>
          <t>C</t>
        </is>
      </c>
      <c r="E90" s="14" t="inlineStr">
        <is>
          <t>C</t>
        </is>
      </c>
      <c r="F90" s="14" t="inlineStr">
        <is>
          <t>C</t>
        </is>
      </c>
      <c r="G90" s="14" t="inlineStr">
        <is>
          <t>C</t>
        </is>
      </c>
      <c r="H90" s="14" t="inlineStr">
        <is>
          <t>C</t>
        </is>
      </c>
      <c r="I90" s="14" t="inlineStr">
        <is>
          <t>C</t>
        </is>
      </c>
      <c r="J90" s="14" t="inlineStr">
        <is>
          <t>C</t>
        </is>
      </c>
      <c r="K90" s="15">
        <f>IF(COUNTIF(D90:J90,"NC")&gt;0,"NC",IF(COUNTIF(D90:J90,"AT")&gt;0,"AT",IF(COUNTIF(D90:J90,"C")&gt;0,"C","NA")))</f>
        <v/>
      </c>
      <c r="L90" s="12" t="inlineStr">
        <is>
          <t>Zones identifiées : header (banner), nav aria-label « Navigation principale », main, footer.</t>
        </is>
      </c>
      <c r="M90" s="16" t="n"/>
      <c r="N90" s="17" t="inlineStr">
        <is>
          <t>Critère 12.6</t>
        </is>
      </c>
    </row>
    <row r="91">
      <c r="A91" s="12" t="inlineStr">
        <is>
          <t>Navigation</t>
        </is>
      </c>
      <c r="B91" s="13" t="inlineStr">
        <is>
          <t>12.7</t>
        </is>
      </c>
      <c r="C91" s="12" t="inlineStr">
        <is>
          <t>Dans chaque page web, un lien d'évitement ou d'accès rapide à la zone de contenu principal est-il présent (hors cas particuliers) ?</t>
        </is>
      </c>
      <c r="D91" s="14" t="inlineStr">
        <is>
          <t>C</t>
        </is>
      </c>
      <c r="E91" s="14" t="inlineStr">
        <is>
          <t>C</t>
        </is>
      </c>
      <c r="F91" s="14" t="inlineStr">
        <is>
          <t>C</t>
        </is>
      </c>
      <c r="G91" s="14" t="inlineStr">
        <is>
          <t>C</t>
        </is>
      </c>
      <c r="H91" s="14" t="inlineStr">
        <is>
          <t>C</t>
        </is>
      </c>
      <c r="I91" s="14" t="inlineStr">
        <is>
          <t>C</t>
        </is>
      </c>
      <c r="J91" s="14" t="inlineStr">
        <is>
          <t>C</t>
        </is>
      </c>
      <c r="K91" s="15">
        <f>IF(COUNTIF(D91:J91,"NC")&gt;0,"NC",IF(COUNTIF(D91:J91,"AT")&gt;0,"AT",IF(COUNTIF(D91:J91,"C")&gt;0,"C","NA")))</f>
        <v/>
      </c>
      <c r="L91" s="12" t="inlineStr">
        <is>
          <t>Lien « Aller au contenu » → #main sur les 7 pages (ajouté à la plaquette le 21/09/2026).</t>
        </is>
      </c>
      <c r="M91" s="16" t="n"/>
      <c r="N91" s="17" t="inlineStr">
        <is>
          <t>Critère 12.7</t>
        </is>
      </c>
    </row>
    <row r="92">
      <c r="A92" s="12" t="inlineStr">
        <is>
          <t>Navigation</t>
        </is>
      </c>
      <c r="B92" s="13" t="inlineStr">
        <is>
          <t>12.8</t>
        </is>
      </c>
      <c r="C92" s="12" t="inlineStr">
        <is>
          <t>Dans chaque page web, l'ordre de tabulation est-il cohérent ?</t>
        </is>
      </c>
      <c r="D92" s="14" t="inlineStr">
        <is>
          <t>C</t>
        </is>
      </c>
      <c r="E92" s="14" t="inlineStr">
        <is>
          <t>C</t>
        </is>
      </c>
      <c r="F92" s="14" t="inlineStr">
        <is>
          <t>C</t>
        </is>
      </c>
      <c r="G92" s="14" t="inlineStr">
        <is>
          <t>C</t>
        </is>
      </c>
      <c r="H92" s="14" t="inlineStr">
        <is>
          <t>C</t>
        </is>
      </c>
      <c r="I92" s="14" t="inlineStr">
        <is>
          <t>C</t>
        </is>
      </c>
      <c r="J92" s="14" t="inlineStr">
        <is>
          <t>C</t>
        </is>
      </c>
      <c r="K92" s="15">
        <f>IF(COUNTIF(D92:J92,"NC")&gt;0,"NC",IF(COUNTIF(D92:J92,"AT")&gt;0,"AT",IF(COUNTIF(D92:J92,"C")&gt;0,"C","NA")))</f>
        <v/>
      </c>
      <c r="L92" s="12" t="inlineStr">
        <is>
          <t>Parcours au Tab : ordre conforme à l'ordre visuel (en-tête, fil d'Ariane, contenu, pied de page).</t>
        </is>
      </c>
      <c r="M92" s="16" t="n"/>
      <c r="N92" s="17" t="inlineStr">
        <is>
          <t>Critère 12.8</t>
        </is>
      </c>
    </row>
    <row r="93">
      <c r="A93" s="12" t="inlineStr">
        <is>
          <t>Navigation</t>
        </is>
      </c>
      <c r="B93" s="13" t="inlineStr">
        <is>
          <t>12.9</t>
        </is>
      </c>
      <c r="C93" s="12" t="inlineStr">
        <is>
          <t>Dans chaque page web, la navigation ne doit pas contenir de piège au clavier. Cette règle est-elle respectée ?</t>
        </is>
      </c>
      <c r="D93" s="14" t="inlineStr">
        <is>
          <t>C</t>
        </is>
      </c>
      <c r="E93" s="14" t="inlineStr">
        <is>
          <t>C</t>
        </is>
      </c>
      <c r="F93" s="14" t="inlineStr">
        <is>
          <t>C</t>
        </is>
      </c>
      <c r="G93" s="14" t="inlineStr">
        <is>
          <t>C</t>
        </is>
      </c>
      <c r="H93" s="14" t="inlineStr">
        <is>
          <t>C</t>
        </is>
      </c>
      <c r="I93" s="14" t="inlineStr">
        <is>
          <t>C</t>
        </is>
      </c>
      <c r="J93" s="14" t="inlineStr">
        <is>
          <t>C</t>
        </is>
      </c>
      <c r="K93" s="15">
        <f>IF(COUNTIF(D93:J93,"NC")&gt;0,"NC",IF(COUNTIF(D93:J93,"AT")&gt;0,"AT",IF(COUNTIF(D93:J93,"C")&gt;0,"C","NA")))</f>
        <v/>
      </c>
      <c r="L93" s="12" t="inlineStr">
        <is>
          <t>Aucun piège : le menu mobile boucle volontairement le focus tant qu'il est ouvert et se ferme à Échap. À confirmer en largeur mobile.</t>
        </is>
      </c>
      <c r="M93" s="16" t="n"/>
      <c r="N93" s="17" t="inlineStr">
        <is>
          <t>Critère 12.9</t>
        </is>
      </c>
    </row>
    <row r="94">
      <c r="A94" s="12" t="inlineStr">
        <is>
          <t>Navigation</t>
        </is>
      </c>
      <c r="B94" s="13" t="inlineStr">
        <is>
          <t>12.10</t>
        </is>
      </c>
      <c r="C94" s="12" t="inlineStr">
        <is>
          <t>Dans chaque page web, les raccourcis clavier n'utilisant qu'une seule touche (lettre minuscule ou majuscule, ponctuation, chiffre ou symbole) sont-ils contrôlables par l’utilisateur ?</t>
        </is>
      </c>
      <c r="D94" s="14" t="inlineStr">
        <is>
          <t>NA</t>
        </is>
      </c>
      <c r="E94" s="14" t="inlineStr">
        <is>
          <t>NA</t>
        </is>
      </c>
      <c r="F94" s="14" t="inlineStr">
        <is>
          <t>NA</t>
        </is>
      </c>
      <c r="G94" s="14" t="inlineStr">
        <is>
          <t>NA</t>
        </is>
      </c>
      <c r="H94" s="14" t="inlineStr">
        <is>
          <t>NA</t>
        </is>
      </c>
      <c r="I94" s="14" t="inlineStr">
        <is>
          <t>NA</t>
        </is>
      </c>
      <c r="J94" s="14" t="inlineStr">
        <is>
          <t>NA</t>
        </is>
      </c>
      <c r="K94" s="15">
        <f>IF(COUNTIF(D94:J94,"NC")&gt;0,"NC",IF(COUNTIF(D94:J94,"AT")&gt;0,"AT",IF(COUNTIF(D94:J94,"C")&gt;0,"C","NA")))</f>
        <v/>
      </c>
      <c r="L94" s="12" t="inlineStr">
        <is>
          <t>Aucun raccourci clavier.</t>
        </is>
      </c>
      <c r="M94" s="16" t="n"/>
      <c r="N94" s="17" t="inlineStr">
        <is>
          <t>Critère 12.10</t>
        </is>
      </c>
    </row>
    <row r="95">
      <c r="A95" s="12" t="inlineStr">
        <is>
          <t>Navigation</t>
        </is>
      </c>
      <c r="B95" s="13" t="inlineStr">
        <is>
          <t>12.11</t>
        </is>
      </c>
      <c r="C95" s="12" t="inlineStr">
        <is>
          <t>Dans chaque page web, les contenus additionnels apparaissant au survol, à la prise de focus ou à l'activation d'un composant d'interface sont-ils si nécessaire atteignables au clavier ?</t>
        </is>
      </c>
      <c r="D95" s="14" t="inlineStr">
        <is>
          <t>C</t>
        </is>
      </c>
      <c r="E95" s="14" t="inlineStr">
        <is>
          <t>C</t>
        </is>
      </c>
      <c r="F95" s="14" t="inlineStr">
        <is>
          <t>C</t>
        </is>
      </c>
      <c r="G95" s="14" t="inlineStr">
        <is>
          <t>C</t>
        </is>
      </c>
      <c r="H95" s="14" t="inlineStr">
        <is>
          <t>C</t>
        </is>
      </c>
      <c r="I95" s="14" t="inlineStr">
        <is>
          <t>C</t>
        </is>
      </c>
      <c r="J95" s="14" t="inlineStr">
        <is>
          <t>NA</t>
        </is>
      </c>
      <c r="K95" s="15">
        <f>IF(COUNTIF(D95:J95,"NC")&gt;0,"NC",IF(COUNTIF(D95:J95,"AT")&gt;0,"AT",IF(COUNTIF(D95:J95,"C")&gt;0,"C","NA")))</f>
        <v/>
      </c>
      <c r="L95" s="12" t="inlineStr">
        <is>
          <t>Menu mobile et réponses de la FAQ atteignables au clavier.</t>
        </is>
      </c>
      <c r="M95" s="16" t="n"/>
      <c r="N95" s="17" t="inlineStr">
        <is>
          <t>Critère 12.11</t>
        </is>
      </c>
    </row>
    <row r="96">
      <c r="A96" s="12" t="inlineStr">
        <is>
          <t>Consultation</t>
        </is>
      </c>
      <c r="B96" s="13" t="inlineStr">
        <is>
          <t>13.1</t>
        </is>
      </c>
      <c r="C96" s="12" t="inlineStr">
        <is>
          <t>Pour chaque page web, l'utilisateur a-t-il le contrôle de chaque limite de temps modifiant le contenu (hors cas particuliers) ?</t>
        </is>
      </c>
      <c r="D96" s="14" t="inlineStr">
        <is>
          <t>NA</t>
        </is>
      </c>
      <c r="E96" s="14" t="inlineStr">
        <is>
          <t>NA</t>
        </is>
      </c>
      <c r="F96" s="14" t="inlineStr">
        <is>
          <t>NA</t>
        </is>
      </c>
      <c r="G96" s="14" t="inlineStr">
        <is>
          <t>NA</t>
        </is>
      </c>
      <c r="H96" s="14" t="inlineStr">
        <is>
          <t>NA</t>
        </is>
      </c>
      <c r="I96" s="14" t="inlineStr">
        <is>
          <t>NA</t>
        </is>
      </c>
      <c r="J96" s="14" t="inlineStr">
        <is>
          <t>NA</t>
        </is>
      </c>
      <c r="K96" s="15">
        <f>IF(COUNTIF(D96:J96,"NC")&gt;0,"NC",IF(COUNTIF(D96:J96,"AT")&gt;0,"AT",IF(COUNTIF(D96:J96,"C")&gt;0,"C","NA")))</f>
        <v/>
      </c>
      <c r="L96" s="12" t="inlineStr">
        <is>
          <t>Aucune limite de temps.</t>
        </is>
      </c>
      <c r="M96" s="16" t="n"/>
      <c r="N96" s="17" t="inlineStr">
        <is>
          <t>Critère 13.1</t>
        </is>
      </c>
    </row>
    <row r="97">
      <c r="A97" s="12" t="inlineStr">
        <is>
          <t>Consultation</t>
        </is>
      </c>
      <c r="B97" s="13" t="inlineStr">
        <is>
          <t>13.2</t>
        </is>
      </c>
      <c r="C97" s="12" t="inlineStr">
        <is>
          <t>Dans chaque page web, l'ouverture d'une nouvelle fenêtre ne doit pas être déclenchée sans action de l'utilisateur. Cette règle est-elle respectée ?</t>
        </is>
      </c>
      <c r="D97" s="14" t="inlineStr">
        <is>
          <t>C</t>
        </is>
      </c>
      <c r="E97" s="14" t="inlineStr">
        <is>
          <t>C</t>
        </is>
      </c>
      <c r="F97" s="14" t="inlineStr">
        <is>
          <t>C</t>
        </is>
      </c>
      <c r="G97" s="14" t="inlineStr">
        <is>
          <t>C</t>
        </is>
      </c>
      <c r="H97" s="14" t="inlineStr">
        <is>
          <t>C</t>
        </is>
      </c>
      <c r="I97" s="14" t="inlineStr">
        <is>
          <t>C</t>
        </is>
      </c>
      <c r="J97" s="14" t="inlineStr">
        <is>
          <t>C</t>
        </is>
      </c>
      <c r="K97" s="15">
        <f>IF(COUNTIF(D97:J97,"NC")&gt;0,"NC",IF(COUNTIF(D97:J97,"AT")&gt;0,"AT",IF(COUNTIF(D97:J97,"C")&gt;0,"C","NA")))</f>
        <v/>
      </c>
      <c r="L97" s="12" t="inlineStr">
        <is>
          <t>Aucune ouverture de fenêtre sans action ; les liens en nouvel onglet l'annoncent dans leur nom accessible.</t>
        </is>
      </c>
      <c r="M97" s="16" t="n"/>
      <c r="N97" s="17" t="inlineStr">
        <is>
          <t>Critère 13.2</t>
        </is>
      </c>
    </row>
    <row r="98">
      <c r="A98" s="12" t="inlineStr">
        <is>
          <t>Consultation</t>
        </is>
      </c>
      <c r="B98" s="13" t="inlineStr">
        <is>
          <t>13.3</t>
        </is>
      </c>
      <c r="C98" s="12" t="inlineStr">
        <is>
          <t>Dans chaque page web, chaque document bureautique en téléchargement possède-t-il, si nécessaire, une version accessible (hors cas particuliers) ?</t>
        </is>
      </c>
      <c r="D98" s="14" t="inlineStr">
        <is>
          <t>C</t>
        </is>
      </c>
      <c r="E98" s="14" t="inlineStr">
        <is>
          <t>C</t>
        </is>
      </c>
      <c r="F98" s="14" t="inlineStr">
        <is>
          <t>C</t>
        </is>
      </c>
      <c r="G98" s="14" t="inlineStr">
        <is>
          <t>C</t>
        </is>
      </c>
      <c r="H98" s="14" t="inlineStr">
        <is>
          <t>C</t>
        </is>
      </c>
      <c r="I98" s="14" t="inlineStr">
        <is>
          <t>C</t>
        </is>
      </c>
      <c r="J98" s="14" t="inlineStr">
        <is>
          <t>C</t>
        </is>
      </c>
      <c r="K98" s="15">
        <f>IF(COUNTIF(D98:J98,"NC")&gt;0,"NC",IF(COUNTIF(D98:J98,"AT")&gt;0,"AT",IF(COUNTIF(D98:J98,"C")&gt;0,"C","NA")))</f>
        <v/>
      </c>
      <c r="L98" s="12" t="inlineStr">
        <is>
          <t>Depuis le 21/09/2026, chaque lien vers la plaquette PDF (héros, pied de page, menu mobile, déclaration) est accompagné d'un lien « Lire en ligne » / « Lire la plaquette en ligne » vers sa version HTML accessible (/plaquette/). Contrôle automatisé : autant de liens web que de liens PDF sur chaque page.</t>
        </is>
      </c>
      <c r="M98" s="16" t="n"/>
      <c r="N98" s="17" t="inlineStr">
        <is>
          <t>Critère 13.3</t>
        </is>
      </c>
    </row>
    <row r="99">
      <c r="A99" s="12" t="inlineStr">
        <is>
          <t>Consultation</t>
        </is>
      </c>
      <c r="B99" s="13" t="inlineStr">
        <is>
          <t>13.4</t>
        </is>
      </c>
      <c r="C99" s="12" t="inlineStr">
        <is>
          <t>Pour chaque document bureautique ayant une version accessible, cette version offre-t-elle la même information ?</t>
        </is>
      </c>
      <c r="D99" s="14" t="inlineStr">
        <is>
          <t>C</t>
        </is>
      </c>
      <c r="E99" s="14" t="inlineStr">
        <is>
          <t>C</t>
        </is>
      </c>
      <c r="F99" s="14" t="inlineStr">
        <is>
          <t>C</t>
        </is>
      </c>
      <c r="G99" s="14" t="inlineStr">
        <is>
          <t>C</t>
        </is>
      </c>
      <c r="H99" s="14" t="inlineStr">
        <is>
          <t>C</t>
        </is>
      </c>
      <c r="I99" s="14" t="inlineStr">
        <is>
          <t>C</t>
        </is>
      </c>
      <c r="J99" s="14" t="inlineStr">
        <is>
          <t>C</t>
        </is>
      </c>
      <c r="K99" s="15">
        <f>IF(COUNTIF(D99:J99,"NC")&gt;0,"NC",IF(COUNTIF(D99:J99,"AT")&gt;0,"AT",IF(COUNTIF(D99:J99,"C")&gt;0,"C","NA")))</f>
        <v/>
      </c>
      <c r="L99" s="12" t="inlineStr">
        <is>
          <t>La page /plaquette/ est la source dont le PDF est imprimé : même information, même structure.</t>
        </is>
      </c>
      <c r="M99" s="16" t="n"/>
      <c r="N99" s="17" t="inlineStr">
        <is>
          <t>Critère 13.4</t>
        </is>
      </c>
    </row>
    <row r="100">
      <c r="A100" s="12" t="inlineStr">
        <is>
          <t>Consultation</t>
        </is>
      </c>
      <c r="B100" s="13" t="inlineStr">
        <is>
          <t>13.5</t>
        </is>
      </c>
      <c r="C100" s="12" t="inlineStr">
        <is>
          <t>Dans chaque page web, chaque contenu cryptique (art ASCII,  émoticône, syntaxe cryptique) a-t-il une alternative ?</t>
        </is>
      </c>
      <c r="D100" s="14" t="inlineStr">
        <is>
          <t>C</t>
        </is>
      </c>
      <c r="E100" s="14" t="inlineStr">
        <is>
          <t>C</t>
        </is>
      </c>
      <c r="F100" s="14" t="inlineStr">
        <is>
          <t>C</t>
        </is>
      </c>
      <c r="G100" s="14" t="inlineStr">
        <is>
          <t>C</t>
        </is>
      </c>
      <c r="H100" s="14" t="inlineStr">
        <is>
          <t>C</t>
        </is>
      </c>
      <c r="I100" s="14" t="inlineStr">
        <is>
          <t>C</t>
        </is>
      </c>
      <c r="J100" s="14" t="inlineStr">
        <is>
          <t>AT</t>
        </is>
      </c>
      <c r="K100" s="15">
        <f>IF(COUNTIF(D100:J100,"NC")&gt;0,"NC",IF(COUNTIF(D100:J100,"AT")&gt;0,"AT",IF(COUNTIF(D100:J100,"C")&gt;0,"C","NA")))</f>
        <v/>
      </c>
      <c r="L100" s="12" t="inlineStr">
        <is>
          <t>Flèches décoratives en CSS ou masquées ; « ↳ rapport officiel ↗ » (projets) a un aria-label explicite. Plaquette : lignes de pointillés du coupon de consentement lues telles quelles.</t>
        </is>
      </c>
      <c r="M100" s="16" t="n"/>
      <c r="N100" s="17" t="inlineStr">
        <is>
          <t>Critère 13.5</t>
        </is>
      </c>
    </row>
    <row r="101">
      <c r="A101" s="12" t="inlineStr">
        <is>
          <t>Consultation</t>
        </is>
      </c>
      <c r="B101" s="13" t="inlineStr">
        <is>
          <t>13.6</t>
        </is>
      </c>
      <c r="C101" s="12" t="inlineStr">
        <is>
          <t>Dans chaque page web, pour chaque contenu cryptique (art ASCII,  émoticône, syntaxe cryptique) ayant une alternative, cette alternative est-elle pertinente ?</t>
        </is>
      </c>
      <c r="D101" s="14" t="inlineStr">
        <is>
          <t>C</t>
        </is>
      </c>
      <c r="E101" s="14" t="inlineStr">
        <is>
          <t>C</t>
        </is>
      </c>
      <c r="F101" s="14" t="inlineStr">
        <is>
          <t>C</t>
        </is>
      </c>
      <c r="G101" s="14" t="inlineStr">
        <is>
          <t>C</t>
        </is>
      </c>
      <c r="H101" s="14" t="inlineStr">
        <is>
          <t>C</t>
        </is>
      </c>
      <c r="I101" s="14" t="inlineStr">
        <is>
          <t>C</t>
        </is>
      </c>
      <c r="J101" s="14" t="inlineStr">
        <is>
          <t>AT</t>
        </is>
      </c>
      <c r="K101" s="15">
        <f>IF(COUNTIF(D101:J101,"NC")&gt;0,"NC",IF(COUNTIF(D101:J101,"AT")&gt;0,"AT",IF(COUNTIF(D101:J101,"C")&gt;0,"C","NA")))</f>
        <v/>
      </c>
      <c r="L101" s="12" t="inlineStr">
        <is>
          <t>Idem 13.5.</t>
        </is>
      </c>
      <c r="M101" s="16" t="n"/>
      <c r="N101" s="17" t="inlineStr">
        <is>
          <t>Critère 13.6</t>
        </is>
      </c>
    </row>
    <row r="102">
      <c r="A102" s="12" t="inlineStr">
        <is>
          <t>Consultation</t>
        </is>
      </c>
      <c r="B102" s="13" t="inlineStr">
        <is>
          <t>13.7</t>
        </is>
      </c>
      <c r="C102" s="12" t="inlineStr">
        <is>
          <t>Dans chaque page web, les changements brusques de luminosité ou les effets de flash sont-ils correctement utilisés ?</t>
        </is>
      </c>
      <c r="D102" s="14" t="inlineStr">
        <is>
          <t>C</t>
        </is>
      </c>
      <c r="E102" s="14" t="inlineStr">
        <is>
          <t>C</t>
        </is>
      </c>
      <c r="F102" s="14" t="inlineStr">
        <is>
          <t>C</t>
        </is>
      </c>
      <c r="G102" s="14" t="inlineStr">
        <is>
          <t>C</t>
        </is>
      </c>
      <c r="H102" s="14" t="inlineStr">
        <is>
          <t>C</t>
        </is>
      </c>
      <c r="I102" s="14" t="inlineStr">
        <is>
          <t>C</t>
        </is>
      </c>
      <c r="J102" s="14" t="inlineStr">
        <is>
          <t>C</t>
        </is>
      </c>
      <c r="K102" s="15">
        <f>IF(COUNTIF(D102:J102,"NC")&gt;0,"NC",IF(COUNTIF(D102:J102,"AT")&gt;0,"AT",IF(COUNTIF(D102:J102,"C")&gt;0,"C","NA")))</f>
        <v/>
      </c>
      <c r="L102" s="12" t="inlineStr">
        <is>
          <t>Aucun flash ni changement brusque de luminosité.</t>
        </is>
      </c>
      <c r="M102" s="16" t="n"/>
      <c r="N102" s="17" t="inlineStr">
        <is>
          <t>Critère 13.7</t>
        </is>
      </c>
    </row>
    <row r="103">
      <c r="A103" s="12" t="inlineStr">
        <is>
          <t>Consultation</t>
        </is>
      </c>
      <c r="B103" s="13" t="inlineStr">
        <is>
          <t>13.8</t>
        </is>
      </c>
      <c r="C103" s="12" t="inlineStr">
        <is>
          <t>Dans chaque page web, chaque contenu en mouvement ou clignotant est-il contrôlable par l'utilisateur ?</t>
        </is>
      </c>
      <c r="D103" s="14" t="inlineStr">
        <is>
          <t>C</t>
        </is>
      </c>
      <c r="E103" s="14" t="inlineStr">
        <is>
          <t>C</t>
        </is>
      </c>
      <c r="F103" s="14" t="inlineStr">
        <is>
          <t>C</t>
        </is>
      </c>
      <c r="G103" s="14" t="inlineStr">
        <is>
          <t>C</t>
        </is>
      </c>
      <c r="H103" s="14" t="inlineStr">
        <is>
          <t>C</t>
        </is>
      </c>
      <c r="I103" s="14" t="inlineStr">
        <is>
          <t>C</t>
        </is>
      </c>
      <c r="J103" s="14" t="inlineStr">
        <is>
          <t>C</t>
        </is>
      </c>
      <c r="K103" s="15">
        <f>IF(COUNTIF(D103:J103,"NC")&gt;0,"NC",IF(COUNTIF(D103:J103,"AT")&gt;0,"AT",IF(COUNTIF(D103:J103,"C")&gt;0,"C","NA")))</f>
        <v/>
      </c>
      <c r="L103" s="12" t="inlineStr">
        <is>
          <t>Seules des animations d'apparition courtes (&lt; 5 s), coupées si le système demande de réduire les mouvements.</t>
        </is>
      </c>
      <c r="M103" s="16" t="n"/>
      <c r="N103" s="17" t="inlineStr">
        <is>
          <t>Critère 13.8</t>
        </is>
      </c>
    </row>
    <row r="104">
      <c r="A104" s="12" t="inlineStr">
        <is>
          <t>Consultation</t>
        </is>
      </c>
      <c r="B104" s="13" t="inlineStr">
        <is>
          <t>13.9</t>
        </is>
      </c>
      <c r="C104" s="12" t="inlineStr">
        <is>
          <t>Dans chaque page web, le contenu proposé est-il consultable quelle que soit l'orientation de l'écran (portrait ou paysage) (hors cas particuliers) ?</t>
        </is>
      </c>
      <c r="D104" s="14" t="inlineStr">
        <is>
          <t>C</t>
        </is>
      </c>
      <c r="E104" s="14" t="inlineStr">
        <is>
          <t>C</t>
        </is>
      </c>
      <c r="F104" s="14" t="inlineStr">
        <is>
          <t>C</t>
        </is>
      </c>
      <c r="G104" s="14" t="inlineStr">
        <is>
          <t>C</t>
        </is>
      </c>
      <c r="H104" s="14" t="inlineStr">
        <is>
          <t>C</t>
        </is>
      </c>
      <c r="I104" s="14" t="inlineStr">
        <is>
          <t>C</t>
        </is>
      </c>
      <c r="J104" s="14" t="inlineStr">
        <is>
          <t>C</t>
        </is>
      </c>
      <c r="K104" s="15">
        <f>IF(COUNTIF(D104:J104,"NC")&gt;0,"NC",IF(COUNTIF(D104:J104,"AT")&gt;0,"AT",IF(COUNTIF(D104:J104,"C")&gt;0,"C","NA")))</f>
        <v/>
      </c>
      <c r="L104" s="12" t="inlineStr">
        <is>
          <t>Mise en page responsive, aucune orientation imposée.</t>
        </is>
      </c>
      <c r="M104" s="16" t="n"/>
      <c r="N104" s="17" t="inlineStr">
        <is>
          <t>Critère 13.9</t>
        </is>
      </c>
    </row>
    <row r="105">
      <c r="A105" s="12" t="inlineStr">
        <is>
          <t>Consultation</t>
        </is>
      </c>
      <c r="B105" s="13" t="inlineStr">
        <is>
          <t>13.10</t>
        </is>
      </c>
      <c r="C105" s="12" t="inlineStr">
        <is>
          <t>Dans chaque page web, les fonctionnalités utilisables ou disponibles au moyen d'un geste complexe peuvent-elles être également disponibles au moyen d'un geste simple (hors cas particuliers) ?</t>
        </is>
      </c>
      <c r="D105" s="14" t="inlineStr">
        <is>
          <t>NA</t>
        </is>
      </c>
      <c r="E105" s="14" t="inlineStr">
        <is>
          <t>NA</t>
        </is>
      </c>
      <c r="F105" s="14" t="inlineStr">
        <is>
          <t>NA</t>
        </is>
      </c>
      <c r="G105" s="14" t="inlineStr">
        <is>
          <t>NA</t>
        </is>
      </c>
      <c r="H105" s="14" t="inlineStr">
        <is>
          <t>NA</t>
        </is>
      </c>
      <c r="I105" s="14" t="inlineStr">
        <is>
          <t>NA</t>
        </is>
      </c>
      <c r="J105" s="14" t="inlineStr">
        <is>
          <t>NA</t>
        </is>
      </c>
      <c r="K105" s="15">
        <f>IF(COUNTIF(D105:J105,"NC")&gt;0,"NC",IF(COUNTIF(D105:J105,"AT")&gt;0,"AT",IF(COUNTIF(D105:J105,"C")&gt;0,"C","NA")))</f>
        <v/>
      </c>
      <c r="L105" s="12" t="inlineStr">
        <is>
          <t>Aucun geste complexe.</t>
        </is>
      </c>
      <c r="M105" s="16" t="n"/>
      <c r="N105" s="17" t="inlineStr">
        <is>
          <t>Critère 13.10</t>
        </is>
      </c>
    </row>
    <row r="106">
      <c r="A106" s="12" t="inlineStr">
        <is>
          <t>Consultation</t>
        </is>
      </c>
      <c r="B106" s="13" t="inlineStr">
        <is>
          <t>13.11</t>
        </is>
      </c>
      <c r="C106" s="12" t="inlineStr">
        <is>
          <t>Dans chaque page web, les actions déclenchées au moyen d'un dispositif de pointage sur un point unique de l'écran peuvent-elles faire l'objet d'une annulation (hors cas particuliers) ?</t>
        </is>
      </c>
      <c r="D106" s="14" t="inlineStr">
        <is>
          <t>C</t>
        </is>
      </c>
      <c r="E106" s="14" t="inlineStr">
        <is>
          <t>C</t>
        </is>
      </c>
      <c r="F106" s="14" t="inlineStr">
        <is>
          <t>C</t>
        </is>
      </c>
      <c r="G106" s="14" t="inlineStr">
        <is>
          <t>C</t>
        </is>
      </c>
      <c r="H106" s="14" t="inlineStr">
        <is>
          <t>C</t>
        </is>
      </c>
      <c r="I106" s="14" t="inlineStr">
        <is>
          <t>C</t>
        </is>
      </c>
      <c r="J106" s="14" t="inlineStr">
        <is>
          <t>C</t>
        </is>
      </c>
      <c r="K106" s="15">
        <f>IF(COUNTIF(D106:J106,"NC")&gt;0,"NC",IF(COUNTIF(D106:J106,"AT")&gt;0,"AT",IF(COUNTIF(D106:J106,"C")&gt;0,"C","NA")))</f>
        <v/>
      </c>
      <c r="L106" s="12" t="inlineStr">
        <is>
          <t>Actions déclenchées au relâchement (événements click natifs).</t>
        </is>
      </c>
      <c r="M106" s="16" t="n"/>
      <c r="N106" s="17" t="inlineStr">
        <is>
          <t>Critère 13.11</t>
        </is>
      </c>
    </row>
    <row r="107">
      <c r="A107" s="12" t="inlineStr">
        <is>
          <t>Consultation</t>
        </is>
      </c>
      <c r="B107" s="13" t="inlineStr">
        <is>
          <t>13.12</t>
        </is>
      </c>
      <c r="C107" s="12" t="inlineStr">
        <is>
          <t>Dans chaque page web, les fonctionnalités qui impliquent un mouvement de l'appareil ou vers l'appareil peuvent-elles être satisfaites de manière alternative (hors cas particuliers) ?</t>
        </is>
      </c>
      <c r="D107" s="14" t="inlineStr">
        <is>
          <t>NA</t>
        </is>
      </c>
      <c r="E107" s="14" t="inlineStr">
        <is>
          <t>NA</t>
        </is>
      </c>
      <c r="F107" s="14" t="inlineStr">
        <is>
          <t>NA</t>
        </is>
      </c>
      <c r="G107" s="14" t="inlineStr">
        <is>
          <t>NA</t>
        </is>
      </c>
      <c r="H107" s="14" t="inlineStr">
        <is>
          <t>NA</t>
        </is>
      </c>
      <c r="I107" s="14" t="inlineStr">
        <is>
          <t>NA</t>
        </is>
      </c>
      <c r="J107" s="14" t="inlineStr">
        <is>
          <t>NA</t>
        </is>
      </c>
      <c r="K107" s="15">
        <f>IF(COUNTIF(D107:J107,"NC")&gt;0,"NC",IF(COUNTIF(D107:J107,"AT")&gt;0,"AT",IF(COUNTIF(D107:J107,"C")&gt;0,"C","NA")))</f>
        <v/>
      </c>
      <c r="L107" s="12" t="inlineStr">
        <is>
          <t>Aucune fonctionnalité liée au mouvement de l'appareil.</t>
        </is>
      </c>
      <c r="M107" s="16" t="n"/>
      <c r="N107" s="17" t="inlineStr">
        <is>
          <t>Critère 13.12</t>
        </is>
      </c>
    </row>
  </sheetData>
  <autoFilter ref="A1:N107"/>
  <conditionalFormatting sqref="D2:K107">
    <cfRule type="cellIs" priority="1" operator="equal" dxfId="0">
      <formula>"C"</formula>
    </cfRule>
    <cfRule type="cellIs" priority="2" operator="equal" dxfId="1">
      <formula>"NC"</formula>
    </cfRule>
    <cfRule type="cellIs" priority="3" operator="equal" dxfId="2">
      <formula>"NA"</formula>
    </cfRule>
    <cfRule type="cellIs" priority="4" operator="equal" dxfId="3">
      <formula>"AT"</formula>
    </cfRule>
  </conditionalFormatting>
  <dataValidations count="1">
    <dataValidation sqref="D2:J107" showDropDown="0" showInputMessage="0" showErrorMessage="1" allowBlank="0" errorTitle="Statut" error="C, NC, NA ou AT" type="list">
      <formula1>"C,NC,NA,AT"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55" customWidth="1" min="3" max="3"/>
    <col width="70" customWidth="1" min="4" max="4"/>
    <col width="9" customWidth="1" min="5" max="5"/>
    <col width="20" customWidth="1" min="6" max="6"/>
  </cols>
  <sheetData>
    <row r="1">
      <c r="A1" s="9" t="inlineStr">
        <is>
          <t>Critère</t>
        </is>
      </c>
      <c r="B1" s="9" t="inlineStr">
        <is>
          <t>Pages</t>
        </is>
      </c>
      <c r="C1" s="9" t="inlineStr">
        <is>
          <t>Problème</t>
        </is>
      </c>
      <c r="D1" s="9" t="inlineStr">
        <is>
          <t>Correction</t>
        </is>
      </c>
      <c r="E1" s="9" t="inlineStr">
        <is>
          <t>Effort</t>
        </is>
      </c>
      <c r="F1" s="9" t="inlineStr">
        <is>
          <t>État</t>
        </is>
      </c>
    </row>
    <row r="2">
      <c r="A2" s="12" t="inlineStr">
        <is>
          <t>3.3</t>
        </is>
      </c>
      <c r="B2" s="12" t="inlineStr">
        <is>
          <t>Contact</t>
        </is>
      </c>
      <c r="C2" s="12" t="inlineStr">
        <is>
          <t>Bordure des champs et des puces de choix à 1,51:1 (seuil 3:1).</t>
        </is>
      </c>
      <c r="D2" s="12" t="inlineStr">
        <is>
          <t>Bordure des champs en --ink-quiet (5,57:1 sur blanc en clair, 4,75:1 en sombre) ou filet de 2 px en --parent-mid.</t>
        </is>
      </c>
      <c r="E2" s="12" t="inlineStr">
        <is>
          <t>Faible</t>
        </is>
      </c>
      <c r="F2" s="12" t="inlineStr">
        <is>
          <t>Corrigé le 21/09/2026</t>
        </is>
      </c>
    </row>
    <row r="3">
      <c r="A3" s="12" t="inlineStr">
        <is>
          <t>6.1</t>
        </is>
      </c>
      <c r="B3" s="12" t="inlineStr">
        <is>
          <t>Toutes</t>
        </is>
      </c>
      <c r="C3" s="12" t="inlineStr">
        <is>
          <t>Nom accessible qui ne contient pas l'intitulé visible : « Prendre RDV », « Plaquette PDF · 6 pages », « Télécharger le PDF ».</t>
        </is>
      </c>
      <c r="D3" s="12" t="inlineStr">
        <is>
          <t>Aligner l'aria-label sur le texte visible, suivi de la précision : « Prendre RDV (rendez-vous, nouvel onglet) », « Plaquette PDF · 6 pages (nouvel onglet) », « Télécharger le PDF (plaquette, 6 pages, nouvel onglet) ».</t>
        </is>
      </c>
      <c r="E3" s="12" t="inlineStr">
        <is>
          <t>Faible</t>
        </is>
      </c>
      <c r="F3" s="12" t="inlineStr">
        <is>
          <t>Corrigé le 21/09/2026</t>
        </is>
      </c>
    </row>
    <row r="4">
      <c r="A4" s="12" t="inlineStr">
        <is>
          <t>8.2</t>
        </is>
      </c>
      <c r="B4" s="12" t="inlineStr">
        <is>
          <t>Projets</t>
        </is>
      </c>
      <c r="C4" s="12" t="inlineStr">
        <is>
          <t>Identifiant « jouons-ensemble » présent deux fois.</t>
        </is>
      </c>
      <c r="D4" s="12" t="inlineStr">
        <is>
          <t>Renommer l'identifiant de la carte projet (ex. « projet-jouons-ensemble ») et vérifier les liens d'ancre.</t>
        </is>
      </c>
      <c r="E4" s="12" t="inlineStr">
        <is>
          <t>Faible</t>
        </is>
      </c>
      <c r="F4" s="12" t="inlineStr">
        <is>
          <t>Corrigé le 21/09/2026</t>
        </is>
      </c>
    </row>
    <row r="5">
      <c r="A5" s="12" t="inlineStr">
        <is>
          <t>8.9</t>
        </is>
      </c>
      <c r="B5" s="12" t="inlineStr">
        <is>
          <t>Contact</t>
        </is>
      </c>
      <c r="C5" s="12" t="inlineStr">
        <is>
          <t>Balise &lt;i&gt; pour styliser les numéros de la légende de la carte.</t>
        </is>
      </c>
      <c r="D5" s="12" t="inlineStr">
        <is>
          <t>Remplacer &lt;i&gt; par &lt;span&gt; dans CommuneMap.</t>
        </is>
      </c>
      <c r="E5" s="12" t="inlineStr">
        <is>
          <t>Faible</t>
        </is>
      </c>
      <c r="F5" s="12" t="inlineStr">
        <is>
          <t>Corrigé le 21/09/2026</t>
        </is>
      </c>
    </row>
    <row r="6">
      <c r="A6" s="12" t="inlineStr">
        <is>
          <t>10.6</t>
        </is>
      </c>
      <c r="B6" s="12" t="inlineStr">
        <is>
          <t>Contact, Mentions légales</t>
        </is>
      </c>
      <c r="C6" s="12" t="inlineStr">
        <is>
          <t>Liens non soulignés au milieu de texte, couleur trop proche du texte (1,64:1).</t>
        </is>
      </c>
      <c r="D6" s="12" t="inlineStr">
        <is>
          <t>Souligner ces liens (contact-nap__link, liens des &lt;dd&gt;).</t>
        </is>
      </c>
      <c r="E6" s="12" t="inlineStr">
        <is>
          <t>Faible</t>
        </is>
      </c>
      <c r="F6" s="12" t="inlineStr">
        <is>
          <t>Corrigé le 21/09/2026</t>
        </is>
      </c>
    </row>
    <row r="7">
      <c r="A7" s="12" t="inlineStr">
        <is>
          <t>10.11</t>
        </is>
      </c>
      <c r="B7" s="12" t="inlineStr">
        <is>
          <t>Plaquette (HTML)</t>
        </is>
      </c>
      <c r="C7" s="12" t="inlineStr">
        <is>
          <t>Feuilles A4 de largeur fixe : défilement horizontal de 237 px à 320 px.</t>
        </is>
      </c>
      <c r="D7" s="12" t="inlineStr">
        <is>
          <t>À l'écran sous 800 px, laisser les feuilles se réduire en largeur fluide (la mise en page A4 reste pour l'impression et le PDF).</t>
        </is>
      </c>
      <c r="E7" s="12" t="inlineStr">
        <is>
          <t>Moyen</t>
        </is>
      </c>
      <c r="F7" s="12" t="inlineStr">
        <is>
          <t>Corrigé le 21/09/2026</t>
        </is>
      </c>
    </row>
    <row r="8">
      <c r="A8" s="12" t="inlineStr">
        <is>
          <t>12.7</t>
        </is>
      </c>
      <c r="B8" s="12" t="inlineStr">
        <is>
          <t>Plaquette (HTML)</t>
        </is>
      </c>
      <c r="C8" s="12" t="inlineStr">
        <is>
          <t>Pas de lien d'évitement.</t>
        </is>
      </c>
      <c r="D8" s="12" t="inlineStr">
        <is>
          <t>Ajouter « Aller au contenu » en tête de PlaquetteLayout, comme dans BaseLayout.</t>
        </is>
      </c>
      <c r="E8" s="12" t="inlineStr">
        <is>
          <t>Faible</t>
        </is>
      </c>
      <c r="F8" s="12" t="inlineStr">
        <is>
          <t>Corrigé le 21/09/2026</t>
        </is>
      </c>
    </row>
    <row r="9">
      <c r="A9" s="12" t="inlineStr">
        <is>
          <t>13.3</t>
        </is>
      </c>
      <c r="B9" s="12" t="inlineStr">
        <is>
          <t>Toutes</t>
        </is>
      </c>
      <c r="C9" s="12" t="inlineStr">
        <is>
          <t>Plaquette PDF sans version accessible proposée à côté du lien (critère alors à tester).</t>
        </is>
      </c>
      <c r="D9" s="12" t="inlineStr">
        <is>
          <t>Lien « Lire en ligne » vers /plaquette/ à côté de chaque lien PDF.</t>
        </is>
      </c>
      <c r="E9" s="12" t="inlineStr">
        <is>
          <t>Faible</t>
        </is>
      </c>
      <c r="F9" s="12" t="inlineStr">
        <is>
          <t>Corrigé le 21/09/2026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80" customWidth="1" min="4" max="4"/>
    <col width="55" customWidth="1" min="5" max="5"/>
  </cols>
  <sheetData>
    <row r="1">
      <c r="A1" s="9" t="inlineStr">
        <is>
          <t>Critères</t>
        </is>
      </c>
      <c r="B1" s="9" t="inlineStr">
        <is>
          <t>Pages</t>
        </is>
      </c>
      <c r="C1" s="9" t="inlineStr">
        <is>
          <t>Outil</t>
        </is>
      </c>
      <c r="D1" s="9" t="inlineStr">
        <is>
          <t>Procédure pas à pas</t>
        </is>
      </c>
      <c r="E1" s="9" t="inlineStr">
        <is>
          <t>Résultat attendu pour « C »</t>
        </is>
      </c>
    </row>
    <row r="2">
      <c r="A2" s="12" t="inlineStr">
        <is>
          <t>7.1</t>
        </is>
      </c>
      <c r="B2" s="12" t="inlineStr">
        <is>
          <t>Toutes sauf plaquette</t>
        </is>
      </c>
      <c r="C2" s="12" t="inlineStr">
        <is>
          <t>NVDA (gratuit, nvaccess.org) + Firefox ou Chrome</t>
        </is>
      </c>
      <c r="D2" s="12" t="inlineStr">
        <is>
          <t>1. Lancer NVDA. 2. Tab jusqu'au bouton de thème, Entrée : écouter l'annonce. 3. En fenêtre étroite (&lt; 1024 px), Tab jusqu'au bouton menu, Entrée : NVDA doit annoncer une boîte de dialogue « Menu de navigation ». 4. Échap : le focus revient au bouton. 5. Projets : ouvrir une question de la FAQ au clavier.</t>
        </is>
      </c>
      <c r="E2" s="12" t="inlineStr">
        <is>
          <t>Le thème annonce « enfoncé / non enfoncé » ; le menu annonce son état (développé/réduit) et sa nature de dialogue ; la FAQ annonce « développé ».</t>
        </is>
      </c>
    </row>
    <row r="3">
      <c r="A3" s="12" t="inlineStr">
        <is>
          <t>8.2</t>
        </is>
      </c>
      <c r="B3" s="12" t="inlineStr">
        <is>
          <t>Toutes</t>
        </is>
      </c>
      <c r="C3" s="12" t="inlineStr">
        <is>
          <t>validator.w3.org/nu (onglet « Check by address »)</t>
        </is>
      </c>
      <c r="D3" s="12" t="inlineStr">
        <is>
          <t>Coller l'URL de chaque page de l'échantillon et lancer la vérification.</t>
        </is>
      </c>
      <c r="E3" s="12" t="inlineStr">
        <is>
          <t>0 erreur (les avertissements « info » ne comptent pas).</t>
        </is>
      </c>
    </row>
    <row r="4">
      <c r="A4" s="12" t="inlineStr">
        <is>
          <t>8.7</t>
        </is>
      </c>
      <c r="B4" s="12" t="inlineStr">
        <is>
          <t>Toutes</t>
        </is>
      </c>
      <c r="C4" s="12" t="inlineStr">
        <is>
          <t>Lecture + dictionnaire (Larousse en ligne)</t>
        </is>
      </c>
      <c r="D4" s="12" t="inlineStr">
        <is>
          <t>Relever les mots étrangers (« gaming », « Duo gaming »…). Un mot absent des dictionnaires français et non passé dans l'usage doit être balisé lang="en".</t>
        </is>
      </c>
      <c r="E4" s="12" t="inlineStr">
        <is>
          <t>Chaque mot étranger non courant est dans un &lt;span lang="en"&gt;, ou n'est pas considéré comme étranger.</t>
        </is>
      </c>
    </row>
    <row r="5">
      <c r="A5" s="12" t="inlineStr">
        <is>
          <t>9.1</t>
        </is>
      </c>
      <c r="B5" s="12" t="inlineStr">
        <is>
          <t>Accueil</t>
        </is>
      </c>
      <c r="C5" s="12" t="inlineStr">
        <is>
          <t>Extension HeadingsMap ou NVDA (touche H)</t>
        </is>
      </c>
      <c r="D5" s="12" t="inlineStr">
        <is>
          <t>Parcourir les titres de la page. Regarder si « Quelques repères » et « Partenaires de confiance » sont perçus comme des titres de section.</t>
        </is>
      </c>
      <c r="E5" s="12" t="inlineStr">
        <is>
          <t>Si ce sont des titres de section : les baliser en h2 (même apparence). Sinon : C.</t>
        </is>
      </c>
    </row>
    <row r="6">
      <c r="A6" s="12" t="inlineStr">
        <is>
          <t>9.3</t>
        </is>
      </c>
      <c r="B6" s="12" t="inlineStr">
        <is>
          <t>Accueil</t>
        </is>
      </c>
      <c r="C6" s="12" t="inlineStr">
        <is>
          <t>Lecture du code ou NVDA (touche L)</t>
        </is>
      </c>
      <c r="D6" s="12" t="inlineStr">
        <is>
          <t>Vérifier la grille des 4 repères chiffrés (8 familles, 6 ans…).</t>
        </is>
      </c>
      <c r="E6" s="12" t="inlineStr">
        <is>
          <t>Si c'est une énumération : ul/li (ou dl). Sinon : C.</t>
        </is>
      </c>
    </row>
    <row r="7">
      <c r="A7" s="12" t="inlineStr">
        <is>
          <t>10.2 · 10.3</t>
        </is>
      </c>
      <c r="B7" s="12" t="inlineStr">
        <is>
          <t>Toutes</t>
        </is>
      </c>
      <c r="C7" s="12" t="inlineStr">
        <is>
          <t>Firefox : Affichage &gt; Style de la page &gt; Aucun style</t>
        </is>
      </c>
      <c r="D7" s="12" t="inlineStr">
        <is>
          <t>Afficher chaque page sans styles. Lire de haut en bas.</t>
        </is>
      </c>
      <c r="E7" s="12" t="inlineStr">
        <is>
          <t>Tout le contenu porteur d'information reste présent et se lit dans un ordre logique.</t>
        </is>
      </c>
    </row>
    <row r="8">
      <c r="A8" s="12" t="inlineStr">
        <is>
          <t>10.4</t>
        </is>
      </c>
      <c r="B8" s="12" t="inlineStr">
        <is>
          <t>Plaquette (HTML)</t>
        </is>
      </c>
      <c r="C8" s="12" t="inlineStr">
        <is>
          <t>Zoom navigateur 200 % (Ctrl +)</t>
        </is>
      </c>
      <c r="D8" s="12" t="inlineStr">
        <is>
          <t>Zoomer la page /plaquette/ à 200 % dans une fenêtre de 1280 px.</t>
        </is>
      </c>
      <c r="E8" s="12" t="inlineStr">
        <is>
          <t>Le texte reste lisible, sans chevauchement ni coupure.</t>
        </is>
      </c>
    </row>
    <row r="9">
      <c r="A9" s="12" t="inlineStr">
        <is>
          <t>10.12</t>
        </is>
      </c>
      <c r="B9" s="12" t="inlineStr">
        <is>
          <t>Toutes</t>
        </is>
      </c>
      <c r="C9" s="12" t="inlineStr">
        <is>
          <t>Bookmarklet « Text Spacing » (Steve Faulkner) ou extension équivalente</t>
        </is>
      </c>
      <c r="D9" s="12" t="inlineStr">
        <is>
          <t>Appliquer l'espacement (interligne 1,5 ; lettres 0,12 ; mots 0,16 ; paragraphes 2) et parcourir chaque page.</t>
        </is>
      </c>
      <c r="E9" s="12" t="inlineStr">
        <is>
          <t>Aucun texte coupé, masqué ou superposé.</t>
        </is>
      </c>
    </row>
    <row r="10">
      <c r="A10" s="12" t="inlineStr">
        <is>
          <t>11.10 · 11.11</t>
        </is>
      </c>
      <c r="B10" s="12" t="inlineStr">
        <is>
          <t>Contact</t>
        </is>
      </c>
      <c r="C10" s="12" t="inlineStr">
        <is>
          <t>NVDA + formulaire</t>
        </is>
      </c>
      <c r="D10" s="12" t="inlineStr">
        <is>
          <t>1. Envoyer le formulaire vide. 2. Écouter le message. 3. Saisir un email sans @, envoyer.</t>
        </is>
      </c>
      <c r="E10" s="12" t="inlineStr">
        <is>
          <t>Chaque erreur est annoncée, rattachée au champ, et le message dit comment corriger (ex. format attendu). Sinon : messages personnalisés à ajouter.</t>
        </is>
      </c>
    </row>
    <row r="11">
      <c r="A11" s="12" t="inlineStr">
        <is>
          <t>13.5 · 13.6</t>
        </is>
      </c>
      <c r="B11" s="12" t="inlineStr">
        <is>
          <t>Plaquette (HTML)</t>
        </is>
      </c>
      <c r="C11" s="12" t="inlineStr">
        <is>
          <t>NVDA</t>
        </is>
      </c>
      <c r="D11" s="12" t="inlineStr">
        <is>
          <t>Écouter le coupon de consentement (« Fait à ........ le ...... »).</t>
        </is>
      </c>
      <c r="E11" s="12" t="inlineStr">
        <is>
          <t>Les pointillés ne sont pas lus caractère par caractère (sinon : les masquer aux lecteurs d'écran et donner une consigne textuelle).</t>
        </is>
      </c>
    </row>
    <row r="12">
      <c r="A12" s="12" t="inlineStr">
        <is>
          <t>3.1</t>
        </is>
      </c>
      <c r="B12" s="12" t="inlineStr">
        <is>
          <t>Contact</t>
        </is>
      </c>
      <c r="C12" s="12" t="inlineStr">
        <is>
          <t>Œil + niveaux de gris (extension ou impression N&amp;B)</t>
        </is>
      </c>
      <c r="D12" s="12" t="inlineStr">
        <is>
          <t>Regarder la carte des communes en niveaux de gris.</t>
        </is>
      </c>
      <c r="E12" s="12" t="inlineStr">
        <is>
          <t>Les communes de la zone restent identifiables (numéros, légende) sans la couleur.</t>
        </is>
      </c>
    </row>
    <row r="13">
      <c r="A13" s="12" t="inlineStr">
        <is>
          <t>12.9</t>
        </is>
      </c>
      <c r="B13" s="12" t="inlineStr">
        <is>
          <t>Toutes</t>
        </is>
      </c>
      <c r="C13" s="12" t="inlineStr">
        <is>
          <t>Clavier, fenêtre &lt; 1024 px</t>
        </is>
      </c>
      <c r="D13" s="12" t="inlineStr">
        <is>
          <t>Ouvrir le menu mobile au clavier, Tab plusieurs fois, puis Échap.</t>
        </is>
      </c>
      <c r="E13" s="12" t="inlineStr">
        <is>
          <t>Le focus reste dans le menu tant qu'il est ouvert ; Échap le ferme et rend le focus.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2026-09-21T14:36:44Z</dcterms:created>
  <dcterms:modified xmlns:dcterms="http://purl.org/dc/terms/" xmlns:xsi="http://www.w3.org/2001/XMLSchema-instance" xsi:type="dcterms:W3CDTF">2026-09-21T14:36:44Z</dcterms:modified>
</cp:coreProperties>
</file>